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e508230afda4b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README" sheetId="1" r:id="R6315e7932d9049ad"/>
    <x:sheet xmlns:r="http://schemas.openxmlformats.org/officeDocument/2006/relationships" name="99_LISTS" sheetId="2" r:id="R8769d7cc8bd44178"/>
    <x:sheet xmlns:r="http://schemas.openxmlformats.org/officeDocument/2006/relationships" name="02_TAXONOMY" sheetId="3" r:id="Rf5c76b2efcf144fc"/>
    <x:sheet xmlns:r="http://schemas.openxmlformats.org/officeDocument/2006/relationships" name="03_CONTENT_MASTER" sheetId="4" r:id="Rfc76ddfab27142f9"/>
    <x:sheet xmlns:r="http://schemas.openxmlformats.org/officeDocument/2006/relationships" name="04_CLAIM_REGISTER" sheetId="5" r:id="R9879251c08f4432f"/>
    <x:sheet xmlns:r="http://schemas.openxmlformats.org/officeDocument/2006/relationships" name="05_VISUAL_MASTER" sheetId="6" r:id="R1c728eee00714fa4"/>
    <x:sheet xmlns:r="http://schemas.openxmlformats.org/officeDocument/2006/relationships" name="06_SOURCE_REGISTER" sheetId="7" r:id="R6249a0e07d864edf"/>
    <x:sheet xmlns:r="http://schemas.openxmlformats.org/officeDocument/2006/relationships" name="07_CONFLICT_REGISTER" sheetId="8" r:id="Rfa5914b977ba4de4"/>
    <x:sheet xmlns:r="http://schemas.openxmlformats.org/officeDocument/2006/relationships" name="08_PAGE_MAP" sheetId="9" r:id="R366c40c1b9c64fd8"/>
    <x:sheet xmlns:r="http://schemas.openxmlformats.org/officeDocument/2006/relationships" name="09_OPEN_QUESTIONS" sheetId="10" r:id="R793f3fc8fb164936"/>
    <x:sheet xmlns:r="http://schemas.openxmlformats.org/officeDocument/2006/relationships" name="01_DASHBOARD" sheetId="11" r:id="Rb2e2f23639744fa8"/>
    <x:sheet xmlns:r="http://schemas.openxmlformats.org/officeDocument/2006/relationships" name="10_ASSET_REGISTER" sheetId="12" r:id="R94eb4e976c1f40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2">
    <x:font>
      <x:sz val="11"/>
      <x:name val="Carlito"/>
    </x:font>
    <x:font>
      <x:b/>
      <x:sz val="16"/>
      <x:color rgb="FFFFFFFF"/>
      <x:name val="Carlito"/>
    </x:font>
    <x:font>
      <x:i/>
      <x:sz val="10"/>
      <x:color rgb="FF263238"/>
      <x:name val="Carlito"/>
    </x:font>
    <x:font>
      <x:b/>
      <x:sz val="10"/>
      <x:color rgb="FFFFFFFF"/>
      <x:name val="Carlito"/>
    </x:font>
    <x:font>
      <x:sz val="10"/>
      <x:color rgb="FF263238"/>
      <x:name val="Carlito"/>
    </x:font>
    <x:font>
      <x:b/>
      <x:sz val="10"/>
      <x:color rgb="FF263238"/>
      <x:name val="Carlito"/>
    </x:font>
    <x:font>
      <x:b/>
      <x:sz val="12"/>
      <x:color rgb="FF1F5E4A"/>
      <x:name val="Carlito"/>
    </x:font>
    <x:font>
      <x:b/>
      <x:sz val="11"/>
      <x:color rgb="FF263238"/>
      <x:name val="Carlito"/>
    </x:font>
    <x:font>
      <x:b/>
      <x:sz val="14"/>
      <x:color rgb="FFFFFFFF"/>
      <x:name val="Carlito"/>
    </x:font>
    <x:font>
      <x:i/>
      <x:sz val="11"/>
      <x:color rgb="FF28484B"/>
      <x:name val="Carlito"/>
    </x:font>
    <x:font>
      <x:b/>
      <x:sz val="11"/>
      <x:color rgb="FFFFFFFF"/>
      <x:name val="Carlito"/>
    </x:font>
    <x:font>
      <x:sz val="9"/>
      <x:color rgb="FF425B5D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263238"/>
      </x:patternFill>
    </x:fill>
    <x:fill>
      <x:patternFill patternType="solid">
        <x:fgColor rgb="FFEEF6F2"/>
      </x:patternFill>
    </x:fill>
    <x:fill>
      <x:patternFill patternType="solid">
        <x:fgColor rgb="FF1F5E4A"/>
      </x:patternFill>
    </x:fill>
    <x:fill>
      <x:patternFill patternType="solid">
        <x:fgColor rgb="FFDCEBE5"/>
      </x:patternFill>
    </x:fill>
    <x:fill>
      <x:patternFill patternType="solid">
        <x:fgColor rgb="FFF4E4B7"/>
      </x:patternFill>
    </x:fill>
    <x:fill>
      <x:patternFill patternType="solid">
        <x:fgColor rgb="FF10343A"/>
      </x:patternFill>
    </x:fill>
    <x:fill>
      <x:patternFill patternType="solid">
        <x:fgColor rgb="FFE6F0EF"/>
      </x:patternFill>
    </x:fill>
    <x:fill>
      <x:patternFill patternType="solid">
        <x:fgColor rgb="FF0F6B70"/>
      </x:patternFill>
    </x:fill>
    <x:fill>
      <x:patternFill patternType="solid">
        <x:fgColor rgb="FFF3F6F5"/>
      </x:patternFill>
    </x:fill>
  </x:fills>
  <x:borders count="2">
    <x:border/>
    <x:border/>
  </x:borders>
  <x:cellStyleXfs count="1">
    <x:xf numFmtId="0" fontId="0" fillId="0" borderId="0"/>
  </x:cellStyleXfs>
  <x:cellXfs count="6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3" borderId="0" xfId="0" applyNumberFormat="1" applyFont="1" applyFill="1" applyBorder="1" applyAlignment="1">
      <x:alignment vertical="top" wrapText="1"/>
    </x:xf>
    <x:xf numFmtId="0" fontId="4" fillId="3" borderId="1" xfId="0" applyNumberFormat="1" applyFont="1" applyFill="1" applyBorder="1" applyAlignment="1">
      <x:alignment vertical="top" wrapText="1"/>
    </x:xf>
    <x:xf numFmtId="0" fontId="5" fillId="3" borderId="0" xfId="0" applyNumberFormat="1" applyFont="1" applyFill="1" applyBorder="1" applyAlignment="1">
      <x:alignment vertical="top" wrapText="1"/>
    </x:xf>
    <x:xf numFmtId="0" fontId="5" fillId="3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7" fillId="5" borderId="0" xfId="0" applyNumberFormat="1" applyFont="1" applyFill="1" applyBorder="1"/>
    <x:xf numFmtId="0" fontId="7" fillId="5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/>
    <x:xf numFmtId="0" fontId="7" fillId="5" borderId="1" xfId="0" applyNumberFormat="1" applyFont="1" applyFill="1" applyBorder="1"/>
    <x:xf numFmtId="0" fontId="7" fillId="5" borderId="1" xfId="0" applyNumberFormat="1" applyFont="1" applyFill="1" applyBorder="1" applyAlignment="1">
      <x:alignment vertical="center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/>
    <x:xf numFmtId="0" fontId="9" fillId="8" borderId="0" xfId="0" applyNumberFormat="1" applyFont="1" applyFill="1" applyBorder="1"/>
    <x:xf numFmtId="0" fontId="9" fillId="8" borderId="0" xfId="0" applyNumberFormat="1" applyFont="1" applyFill="1" applyBorder="1" applyAlignment="1">
      <x:alignment wrapText="1"/>
    </x:xf>
    <x:xf numFmtId="0" fontId="0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0" xfId="0" applyNumberFormat="1" applyFont="1" applyFill="1" applyBorder="1" applyAlignment="1">
      <x:alignment wrapText="1"/>
    </x:xf>
  </x:cellXfs>
  <x:cellStyles count="1">
    <x:cellStyle name="Normal" xfId="0"/>
  </x:cellStyles>
  <x:dxfs count="6">
    <x:dxf>
      <x:fill>
        <x:patternFill>
          <x:bgColor rgb="FFF4E4B7"/>
        </x:patternFill>
      </x:fill>
    </x:dxf>
    <x:dxf>
      <x:fill>
        <x:patternFill>
          <x:bgColor rgb="FFDCEBE5"/>
        </x:patternFill>
      </x:fill>
    </x:dxf>
    <x:dxf>
      <x:fill>
        <x:patternFill>
          <x:bgColor rgb="FFF4E4B7"/>
        </x:patternFill>
      </x:fill>
    </x:dxf>
    <x:dxf>
      <x:fill>
        <x:patternFill>
          <x:bgColor rgb="FFF4E4B7"/>
        </x:patternFill>
      </x:fill>
    </x:dxf>
    <x:dxf>
      <x:fill>
        <x:patternFill>
          <x:bgColor rgb="FFDCEBE5"/>
        </x:patternFill>
      </x:fill>
    </x:dxf>
    <x:dxf>
      <x:fill>
        <x:patternFill>
          <x:bgColor rgb="FFF7D8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bac554f56745bc" /><Relationship Type="http://schemas.openxmlformats.org/officeDocument/2006/relationships/theme" Target="/xl/theme/theme1.xml" Id="R64dd43ad48694dab" /><Relationship Type="http://schemas.openxmlformats.org/officeDocument/2006/relationships/sharedStrings" Target="/xl/sharedStrings.xml" Id="Rd89dbe74141d40d6" /><Relationship Type="http://schemas.openxmlformats.org/officeDocument/2006/relationships/worksheet" Target="/xl/worksheets/sheet1.xml" Id="R6315e7932d9049ad" /><Relationship Type="http://schemas.openxmlformats.org/officeDocument/2006/relationships/worksheet" Target="/xl/worksheets/sheet2.xml" Id="R8769d7cc8bd44178" /><Relationship Type="http://schemas.openxmlformats.org/officeDocument/2006/relationships/worksheet" Target="/xl/worksheets/sheet3.xml" Id="Rf5c76b2efcf144fc" /><Relationship Type="http://schemas.openxmlformats.org/officeDocument/2006/relationships/worksheet" Target="/xl/worksheets/sheet4.xml" Id="Rfc76ddfab27142f9" /><Relationship Type="http://schemas.openxmlformats.org/officeDocument/2006/relationships/worksheet" Target="/xl/worksheets/sheet5.xml" Id="R9879251c08f4432f" /><Relationship Type="http://schemas.openxmlformats.org/officeDocument/2006/relationships/worksheet" Target="/xl/worksheets/sheet6.xml" Id="R1c728eee00714fa4" /><Relationship Type="http://schemas.openxmlformats.org/officeDocument/2006/relationships/worksheet" Target="/xl/worksheets/sheet7.xml" Id="R6249a0e07d864edf" /><Relationship Type="http://schemas.openxmlformats.org/officeDocument/2006/relationships/worksheet" Target="/xl/worksheets/sheet8.xml" Id="Rfa5914b977ba4de4" /><Relationship Type="http://schemas.openxmlformats.org/officeDocument/2006/relationships/worksheet" Target="/xl/worksheets/sheet9.xml" Id="R366c40c1b9c64fd8" /><Relationship Type="http://schemas.openxmlformats.org/officeDocument/2006/relationships/worksheet" Target="/xl/worksheets/sheet10.xml" Id="R793f3fc8fb164936" /><Relationship Type="http://schemas.openxmlformats.org/officeDocument/2006/relationships/worksheet" Target="/xl/worksheets/sheet11.xml" Id="Rb2e2f23639744fa8" /><Relationship Type="http://schemas.openxmlformats.org/officeDocument/2006/relationships/worksheet" Target="/xl/worksheets/sheet12.xml" Id="R94eb4e976c1f405e" /></Relationships>
</file>

<file path=xl/tables/table1.xml><?xml version="1.0" encoding="utf-8"?>
<x:table xmlns:x="http://schemas.openxmlformats.org/spreadsheetml/2006/main" id="1" name="TaxonomyTable" displayName="TaxonomyTable" ref="A4:L19" headerRowCount="1" totalsRowCount="0" totalsRowShown="0">
  <x:tableColumns count="12">
    <x:tableColumn id="1" name="ENTITY-ID"/>
    <x:tableColumn id="2" name="PARENT-ID"/>
    <x:tableColumn id="3" name="LEVEL"/>
    <x:tableColumn id="4" name="CANONICAL NAME"/>
    <x:tableColumn id="5" name="ALIASES / PRIOR NAMES"/>
    <x:tableColumn id="6" name="WEBSITE SLUG"/>
    <x:tableColumn id="7" name="CURRENT WEBSITE ROLE"/>
    <x:tableColumn id="8" name="PUBLIC LEVEL 2"/>
    <x:tableColumn id="9" name="STATUS"/>
    <x:tableColumn id="10" name="PORTFOLIO DECISION"/>
    <x:tableColumn id="11" name="TIPMS REFERENCE"/>
    <x:tableColumn id="1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ontentMasterTable" displayName="ContentMasterTable" ref="A4:AI8" headerRowCount="1" totalsRowCount="0" totalsRowShown="0">
  <x:tableColumns count="35">
    <x:tableColumn id="1" name="CONTENT-ID"/>
    <x:tableColumn id="2" name="PRODUCT FAMILY ID"/>
    <x:tableColumn id="3" name="SYSTEM / VARIANT ID"/>
    <x:tableColumn id="4" name="CONTENT TYPE"/>
    <x:tableColumn id="5" name="TOPIC"/>
    <x:tableColumn id="6" name="SOURCE-ID"/>
    <x:tableColumn id="7" name="SOURCE DOCUMENT"/>
    <x:tableColumn id="8" name="SOURCE VERSION"/>
    <x:tableColumn id="9" name="SOURCE LOCATION / PAGE"/>
    <x:tableColumn id="10" name="ORIGINAL FACT / SOURCE STATEMENT"/>
    <x:tableColumn id="11" name="WEBSITE-SAFE CLAIM"/>
    <x:tableColumn id="12" name="TECHNICAL WORDING"/>
    <x:tableColumn id="13" name="PUBLIC WORDING"/>
    <x:tableColumn id="14" name="EVIDENCE LEVEL"/>
    <x:tableColumn id="15" name="EVIDENCE TYPE"/>
    <x:tableColumn id="16" name="SCOPE"/>
    <x:tableColumn id="17" name="LIMITATION"/>
    <x:tableColumn id="18" name="REGULATORY RELEVANCE"/>
    <x:tableColumn id="19" name="TARGET AUDIENCE"/>
    <x:tableColumn id="20" name="WEBSITE PAGE"/>
    <x:tableColumn id="21" name="WEBSITE SECTION"/>
    <x:tableColumn id="22" name="CONTENT ROLE"/>
    <x:tableColumn id="23" name="PRIORITY"/>
    <x:tableColumn id="24" name="VISIBILITY"/>
    <x:tableColumn id="25" name="CLAIM STATUS"/>
    <x:tableColumn id="26" name="TECHNICAL REVIEW"/>
    <x:tableColumn id="27" name="REGULATORY REVIEW"/>
    <x:tableColumn id="28" name="VISUAL REQUIRED"/>
    <x:tableColumn id="29" name="VISUAL-ID"/>
    <x:tableColumn id="30" name="EXISTING ASSET"/>
    <x:tableColumn id="31" name="NEW VISUAL REQUIRED"/>
    <x:tableColumn id="32" name="CONFLICT-ID"/>
    <x:tableColumn id="33" name="STATUS"/>
    <x:tableColumn id="34" name="OPEN QUESTION"/>
    <x:tableColumn id="35" name="NEXT REQUIRED SOURC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laimRegisterTable" displayName="ClaimRegisterTable" ref="A4:T54" headerRowCount="1" totalsRowCount="0" totalsRowShown="0">
  <x:tableColumns count="20">
    <x:tableColumn id="1" name="CLAIM-ID"/>
    <x:tableColumn id="2" name="PRODUCT FAMILY ID"/>
    <x:tableColumn id="3" name="SYSTEM / VARIANT ID"/>
    <x:tableColumn id="4" name="TIPMS TECHNOLOGY"/>
    <x:tableColumn id="5" name="CLAIM"/>
    <x:tableColumn id="6" name="TIPMS STATUS"/>
    <x:tableColumn id="7" name="TIPMS BELEG"/>
    <x:tableColumn id="8" name="APPROVED / ALLOWED WORDING"/>
    <x:tableColumn id="9" name="NO-GO / RISK"/>
    <x:tableColumn id="10" name="NEXT VALIDATION STEP"/>
    <x:tableColumn id="11" name="EVIDENCE LEVEL"/>
    <x:tableColumn id="12" name="SCOPE"/>
    <x:tableColumn id="13" name="LIMITATION"/>
    <x:tableColumn id="14" name="WEBSITE USE"/>
    <x:tableColumn id="15" name="TECHNICAL REVIEW"/>
    <x:tableColumn id="16" name="REGULATORY REVIEW"/>
    <x:tableColumn id="17" name="PAGES USED"/>
    <x:tableColumn id="18" name="SOURCE-ID"/>
    <x:tableColumn id="19" name="STATUS"/>
    <x:tableColumn id="20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isualMasterTable" displayName="VisualMasterTable" ref="A4:V6" headerRowCount="1" totalsRowCount="0" totalsRowShown="0">
  <x:tableColumns count="22">
    <x:tableColumn id="1" name="VISUAL-ID"/>
    <x:tableColumn id="2" name="PRODUCT FAMILY ID"/>
    <x:tableColumn id="3" name="SYSTEM / VARIANT ID"/>
    <x:tableColumn id="4" name="PAGE"/>
    <x:tableColumn id="5" name="SECTION"/>
    <x:tableColumn id="6" name="PURPOSE"/>
    <x:tableColumn id="7" name="VISUAL TYPE"/>
    <x:tableColumn id="8" name="SOURCE MATERIAL AVAILABLE"/>
    <x:tableColumn id="9" name="EXISTING ASSET"/>
    <x:tableColumn id="10" name="USABLE AS-IS"/>
    <x:tableColumn id="11" name="REWORK REQUIRED"/>
    <x:tableColumn id="12" name="NEW GENERATION REQUIRED"/>
    <x:tableColumn id="13" name="TECHNICAL ACCURACY REQUIRED"/>
    <x:tableColumn id="14" name="STYLE"/>
    <x:tableColumn id="15" name="ASPECT RATIO"/>
    <x:tableColumn id="16" name="DESKTOP USE"/>
    <x:tableColumn id="17" name="MOBILE USE"/>
    <x:tableColumn id="18" name="ALT TEXT"/>
    <x:tableColumn id="19" name="STATUS"/>
    <x:tableColumn id="20" name="SOURCE-ID"/>
    <x:tableColumn id="21" name="RIGHTS STATUS"/>
    <x:tableColumn id="22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ourceRegisterTable" displayName="SourceRegisterTable" ref="A4:R34" headerRowCount="1" totalsRowCount="0" totalsRowShown="0">
  <x:tableColumns count="18">
    <x:tableColumn id="1" name="SOURCE-ID"/>
    <x:tableColumn id="2" name="DOCUMENT NAME"/>
    <x:tableColumn id="3" name="VERSION / DATE"/>
    <x:tableColumn id="4" name="AUTHOR / ISSUER"/>
    <x:tableColumn id="5" name="DOCUMENT TYPE"/>
    <x:tableColumn id="6" name="PRODUCT FAMILY ID"/>
    <x:tableColumn id="7" name="TIPMS TECHNOLOGY"/>
    <x:tableColumn id="8" name="AUTHORITY / EVIDENCE CHARACTER"/>
    <x:tableColumn id="9" name="CURRENT / SUPERSEDED / UNCLEAR"/>
    <x:tableColumn id="10" name="KEY CONTENT"/>
    <x:tableColumn id="11" name="WEBSITE RELEVANCE"/>
    <x:tableColumn id="12" name="TECHNICAL RELEVANCE"/>
    <x:tableColumn id="13" name="VISUAL RELEVANCE"/>
    <x:tableColumn id="14" name="PUBLICLY CITABLE?"/>
    <x:tableColumn id="15" name="CONFLICTS"/>
    <x:tableColumn id="16" name="WEBSITE EXTRACTION STATUS"/>
    <x:tableColumn id="17" name="TIPMS ORIGINAL ID"/>
    <x:tableColumn id="18" name="NOTE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geMapTable" displayName="PageMapTable" ref="A4:O20" headerRowCount="1" totalsRowCount="0" totalsRowShown="0">
  <x:tableColumns count="15">
    <x:tableColumn id="1" name="PAGE-ID"/>
    <x:tableColumn id="2" name="LEVEL"/>
    <x:tableColumn id="3" name="PRODUCT FAMILY ID"/>
    <x:tableColumn id="4" name="SYSTEM / VARIANT ID"/>
    <x:tableColumn id="5" name="PAGE / ROUTE"/>
    <x:tableColumn id="6" name="PRIMARY QUESTION"/>
    <x:tableColumn id="7" name="CORE PURPOSE"/>
    <x:tableColumn id="8" name="PRIMARY AUDIENCE"/>
    <x:tableColumn id="9" name="CONTENT STATUS"/>
    <x:tableColumn id="10" name="TECHNICAL DEPTH"/>
    <x:tableColumn id="11" name="REQUIRED CONTENT TYPES"/>
    <x:tableColumn id="12" name="REQUIRED VISUALS"/>
    <x:tableColumn id="13" name="CTA"/>
    <x:tableColumn id="14" name="PRIORITY"/>
    <x:tableColumn id="15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OpenQuestionsTable" displayName="OpenQuestionsTable" ref="A4:N8" headerRowCount="1" totalsRowCount="0" totalsRowShown="0">
  <x:tableColumns count="14">
    <x:tableColumn id="1" name="OPEN-ID"/>
    <x:tableColumn id="2" name="PRODUCT FAMILY ID"/>
    <x:tableColumn id="3" name="SYSTEM / VARIANT ID"/>
    <x:tableColumn id="4" name="QUESTION / GAP"/>
    <x:tableColumn id="5" name="CATEGORY"/>
    <x:tableColumn id="6" name="WHY IT MATTERS"/>
    <x:tableColumn id="7" name="REQUIRED SOURCE / ACTION"/>
    <x:tableColumn id="8" name="PRIORITY"/>
    <x:tableColumn id="9" name="OWNER"/>
    <x:tableColumn id="10" name="STATUS"/>
    <x:tableColumn id="11" name="RELATED CONTENT-ID"/>
    <x:tableColumn id="12" name="RELATED CLAIM-ID"/>
    <x:tableColumn id="13" name="RELATED SOURCE-ID"/>
    <x:tableColumn id="1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e2ad0d31c3a943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5deb36cb917d4ad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a4aa0d1da0244c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3b52839592664b5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95df0eb169304d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98ba79251b0c4b51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ff6670a5cc314f35" /></Relationships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2" hidden="0" customWidth="1"/>
  </x:cols>
  <x:sheetData>
    <x:row r="1" ht="28" customHeight="1">
      <x:c r="A1" s="4" t="str">
        <x:v>PURE Website Content Master Database V1.3</x:v>
      </x:c>
    </x:row>
    <x:row r="2" ht="50" customHeight="1">
      <x:c r="A2" s="11" t="str">
        <x:v>Arbeitsmaster für die kontrollierte Übersetzung der TIPMS-Wissensbasis in Website-Content. Portfolio-Taxonomie bleibt bewusst flexibel; PURE FLOOR PROTECT und PURE PROTECT T730 sind noch nicht endgültig als Level-2-Familien festgelegt.</x:v>
      </x:c>
    </x:row>
    <x:row r="4">
      <x:c r="A4" s="20" t="str">
        <x:v>Prinzip</x:v>
      </x:c>
      <x:c r="B4" s="20" t="str">
        <x:v>Verbindliche Regel</x:v>
      </x:c>
    </x:row>
    <x:row r="5" ht="42" customHeight="1">
      <x:c r="A5" s="28" t="str">
        <x:v>Single Source of Truth</x:v>
      </x:c>
      <x:c r="B5" s="28" t="str">
        <x:v>Technische Fakten, Kennwerte, Prüfungen und Evidenz werden nicht in dieser Datei neu erfunden; fachliche Änderungen beginnen in TIPMS.</x:v>
      </x:c>
    </x:row>
    <x:row r="6" ht="42" customHeight="1">
      <x:c r="A6" s="28" t="str">
        <x:v>Website-Ebene</x:v>
      </x:c>
      <x:c r="B6" s="28" t="str">
        <x:v>Diese Datei verwaltet website-sichere Formulierungen, Seitenzuordnung, Freigaben, Visualbedarf und Kommunikationsgrenzen.</x:v>
      </x:c>
    </x:row>
    <x:row r="7" ht="42" customHeight="1">
      <x:c r="A7" s="28" t="str">
        <x:v>Evidenz</x:v>
      </x:c>
      <x:c r="B7" s="28" t="str">
        <x:v>A = extern geprüft; B = intern dokumentiert/validiert; C = berechnet/modelliert; D = Entwicklungsstatus. Keine Hochstufung ohne Originalnachweis.</x:v>
      </x:c>
    </x:row>
    <x:row r="8" ht="42" customHeight="1">
      <x:c r="A8" s="28" t="str">
        <x:v>Taxonomie</x:v>
      </x:c>
      <x:c r="B8" s="28" t="str">
        <x:v>Produktfamilien und Systeme werden über stabile IDs referenziert. Namen und öffentliche Einordnung können später geändert werden, ohne Content-IDs umzubauen.</x:v>
      </x:c>
    </x:row>
    <x:row r="9" ht="42" customHeight="1">
      <x:c r="A9" s="28" t="str">
        <x:v>Offene Portfoliofrage</x:v>
      </x:c>
      <x:c r="B9" s="28" t="str">
        <x:v>PURE FLOOR PROTECT und PURE PROTECT T730 bleiben erhalten, Public Level 2 = PENDING.</x:v>
      </x:c>
    </x:row>
    <x:row r="10" ht="42" customHeight="1">
      <x:c r="A10" s="28" t="str">
        <x:v>Alte Marketingunterlagen</x:v>
      </x:c>
      <x:c r="B10" s="28" t="str">
        <x:v>Sind Quellen, keine automatische Wahrheit. Claims werden mit zulässiger Formulierung, Risiko und Freigabestatus geführt.</x:v>
      </x:c>
    </x:row>
    <x:row r="11" ht="42" customHeight="1">
      <x:c r="A11" s="28" t="str">
        <x:v>Visual Workflow</x:v>
      </x:c>
      <x:c r="B11" s="28" t="str">
        <x:v>Zuerst Dokumente und Content-Lücken analysieren, dann Visual-Lücken definieren, erst danach Bilder/Grafiken erstellen.</x:v>
      </x:c>
    </x:row>
    <x:row r="12" ht="42" customHeight="1">
      <x:c r="A12" s="28" t="str">
        <x:v>V1.3 · aktualisiert 12.09.2026 · Production-Abgleich mit finalem Vercel-Push; Visual-Master und Asset-Register auf aktuellen Website-/Bildstand fortgeschrieben; neue Thermo-Systemrouten und finale Kommunikationsvisuals erfasst.</x:v>
      </x:c>
      <x:c r="B12" s="28" t="str">
        <x:v>V1.1 · aktualisiert 09.09.2026 · PURE LIQUID HEAT Dokumentenpaket vollständig ausgewertet und in Content-, Claim-, Visual-, Source-, Conflict-, Page- und Open-Question-Register integriert.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7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7" hidden="0" customWidth="1"/>
    <x:col min="8" max="8" width="27" hidden="0" customWidth="1"/>
    <x:col min="9" max="9" width="27" hidden="0" customWidth="1"/>
    <x:col min="10" max="10" width="27" hidden="0" customWidth="1"/>
    <x:col min="11" max="11" width="27" hidden="0" customWidth="1"/>
    <x:col min="12" max="12" width="27" hidden="0" customWidth="1"/>
  </x:cols>
  <x:sheetData>
    <x:row r="1">
      <x:c r="A1" s="4" t="str">
        <x:v>Dropdown-Listen / Governance-Werte</x:v>
      </x:c>
    </x:row>
    <x:row r="3">
      <x:c r="A3" s="20" t="str">
        <x:v>Evidence Level</x:v>
      </x:c>
      <x:c r="B3" s="20" t="str">
        <x:v>Priority</x:v>
      </x:c>
      <x:c r="C3" s="20" t="str">
        <x:v>Visibility</x:v>
      </x:c>
      <x:c r="D3" s="20" t="str">
        <x:v>Yes/No/Pending</x:v>
      </x:c>
      <x:c r="E3" s="20" t="str">
        <x:v>Content Status</x:v>
      </x:c>
      <x:c r="F3" s="20" t="str">
        <x:v>Claim Website Use</x:v>
      </x:c>
      <x:c r="G3" s="20" t="str">
        <x:v>Review Status</x:v>
      </x:c>
      <x:c r="H3" s="20" t="str">
        <x:v>Conflict Status</x:v>
      </x:c>
      <x:c r="I3" s="20" t="str">
        <x:v>Visual Status</x:v>
      </x:c>
      <x:c r="J3" s="20" t="str">
        <x:v>Page Status</x:v>
      </x:c>
      <x:c r="K3" s="20" t="str">
        <x:v>Content Type</x:v>
      </x:c>
      <x:c r="L3" s="20" t="str">
        <x:v>Visual Type</x:v>
      </x:c>
    </x:row>
    <x:row r="4">
      <x:c r="A4" s="28" t="str">
        <x:v>A</x:v>
      </x:c>
      <x:c r="B4" s="28" t="str">
        <x:v>CRITICAL</x:v>
      </x:c>
      <x:c r="C4" s="28" t="str">
        <x:v>PUBLIC</x:v>
      </x:c>
      <x:c r="D4" s="28" t="str">
        <x:v>YES</x:v>
      </x:c>
      <x:c r="E4" s="28" t="str">
        <x:v>DRAFT</x:v>
      </x:c>
      <x:c r="F4" s="28" t="str">
        <x:v>REVIEW REQUIRED</x:v>
      </x:c>
      <x:c r="G4" s="28" t="str">
        <x:v>NOT STARTED</x:v>
      </x:c>
      <x:c r="H4" s="28" t="str">
        <x:v>OPEN</x:v>
      </x:c>
      <x:c r="I4" s="28" t="str">
        <x:v>NOT PLANNED</x:v>
      </x:c>
      <x:c r="J4" s="28" t="str">
        <x:v>PLANNED</x:v>
      </x:c>
      <x:c r="K4" s="28" t="str">
        <x:v>TECHNOLOGY PRINCIPLE</x:v>
      </x:c>
      <x:c r="L4" s="28" t="str">
        <x:v>REAL PRODUCT PHOTO</x:v>
      </x:c>
    </x:row>
    <x:row r="5">
      <x:c r="A5" s="28" t="str">
        <x:v>B</x:v>
      </x:c>
      <x:c r="B5" s="28" t="str">
        <x:v>HIGH</x:v>
      </x:c>
      <x:c r="C5" s="28" t="str">
        <x:v>TECHNICAL</x:v>
      </x:c>
      <x:c r="D5" s="28" t="str">
        <x:v>NO</x:v>
      </x:c>
      <x:c r="E5" s="28" t="str">
        <x:v>IN REVIEW</x:v>
      </x:c>
      <x:c r="F5" s="28" t="str">
        <x:v>YES</x:v>
      </x:c>
      <x:c r="G5" s="28" t="str">
        <x:v>IN REVIEW</x:v>
      </x:c>
      <x:c r="H5" s="28" t="str">
        <x:v>IN CLARIFICATION</x:v>
      </x:c>
      <x:c r="I5" s="28" t="str">
        <x:v>NEEDED</x:v>
      </x:c>
      <x:c r="J5" s="28" t="str">
        <x:v>CONTENT MISSING</x:v>
      </x:c>
      <x:c r="K5" s="28" t="str">
        <x:v>MATERIAL</x:v>
      </x:c>
      <x:c r="L5" s="28" t="str">
        <x:v>REAL APPLICATION PHOTO</x:v>
      </x:c>
    </x:row>
    <x:row r="6">
      <x:c r="A6" s="28" t="str">
        <x:v>C</x:v>
      </x:c>
      <x:c r="B6" s="28" t="str">
        <x:v>MEDIUM</x:v>
      </x:c>
      <x:c r="C6" s="28" t="str">
        <x:v>INTERNAL</x:v>
      </x:c>
      <x:c r="D6" s="28" t="str">
        <x:v>PENDING</x:v>
      </x:c>
      <x:c r="E6" s="28" t="str">
        <x:v>HOLD</x:v>
      </x:c>
      <x:c r="F6" s="28" t="str">
        <x:v>NO</x:v>
      </x:c>
      <x:c r="G6" s="28" t="str">
        <x:v>APPROVED</x:v>
      </x:c>
      <x:c r="H6" s="28" t="str">
        <x:v>RESOLVED</x:v>
      </x:c>
      <x:c r="I6" s="28" t="str">
        <x:v>SOURCE AVAILABLE</x:v>
      </x:c>
      <x:c r="J6" s="28" t="str">
        <x:v>CONTENT READY</x:v>
      </x:c>
      <x:c r="K6" s="28" t="str">
        <x:v>FUNCTION</x:v>
      </x:c>
      <x:c r="L6" s="28" t="str">
        <x:v>MACRO MATERIAL PHOTO</x:v>
      </x:c>
    </x:row>
    <x:row r="7">
      <x:c r="A7" s="28" t="str">
        <x:v>D</x:v>
      </x:c>
      <x:c r="B7" s="28" t="str">
        <x:v>LOW</x:v>
      </x:c>
      <x:c r="D7" s="28" t="str">
        <x:v>N/A</x:v>
      </x:c>
      <x:c r="E7" s="28" t="str">
        <x:v>APPROVED</x:v>
      </x:c>
      <x:c r="F7" s="28" t="str">
        <x:v>WITH QUALIFICATION</x:v>
      </x:c>
      <x:c r="G7" s="28" t="str">
        <x:v>REJECTED</x:v>
      </x:c>
      <x:c r="H7" s="28" t="str">
        <x:v>N/A</x:v>
      </x:c>
      <x:c r="I7" s="28" t="str">
        <x:v>IN PRODUCTION</x:v>
      </x:c>
      <x:c r="J7" s="28" t="str">
        <x:v>IN BUILD</x:v>
      </x:c>
      <x:c r="K7" s="28" t="str">
        <x:v>PRODUCT BENEFIT</x:v>
      </x:c>
      <x:c r="L7" s="28" t="str">
        <x:v>MICRO / MATERIAL STRUCTURE</x:v>
      </x:c>
    </x:row>
    <x:row r="8">
      <x:c r="A8" s="28" t="str">
        <x:v>N/A</x:v>
      </x:c>
      <x:c r="E8" s="28" t="str">
        <x:v>SUPERSEDED</x:v>
      </x:c>
      <x:c r="G8" s="28" t="str">
        <x:v>N/A</x:v>
      </x:c>
      <x:c r="I8" s="28" t="str">
        <x:v>READY</x:v>
      </x:c>
      <x:c r="J8" s="28" t="str">
        <x:v>LIVE</x:v>
      </x:c>
      <x:c r="K8" s="28" t="str">
        <x:v>APPLICATION</x:v>
      </x:c>
      <x:c r="L8" s="28" t="str">
        <x:v>TECHNICAL DIAGRAM</x:v>
      </x:c>
    </x:row>
    <x:row r="9">
      <x:c r="I9" s="28" t="str">
        <x:v>APPROVED</x:v>
      </x:c>
      <x:c r="J9" s="28" t="str">
        <x:v>HOLD</x:v>
      </x:c>
      <x:c r="K9" s="28" t="str">
        <x:v>SYSTEM BUILD-UP</x:v>
      </x:c>
      <x:c r="L9" s="28" t="str">
        <x:v>SYSTEM CROSS-SECTION</x:v>
      </x:c>
    </x:row>
    <x:row r="10">
      <x:c r="K10" s="28" t="str">
        <x:v>PROCESSING</x:v>
      </x:c>
      <x:c r="L10" s="28" t="str">
        <x:v>PROCESS DIAGRAM</x:v>
      </x:c>
    </x:row>
    <x:row r="11">
      <x:c r="K11" s="28" t="str">
        <x:v>TECHNICAL VALUE</x:v>
      </x:c>
      <x:c r="L11" s="28" t="str">
        <x:v>FUNCTIONAL EXPLANATION</x:v>
      </x:c>
    </x:row>
    <x:row r="12">
      <x:c r="K12" s="28" t="str">
        <x:v>TEST RESULT</x:v>
      </x:c>
      <x:c r="L12" s="28" t="str">
        <x:v>ARCHITECTURE IMAGE</x:v>
      </x:c>
    </x:row>
    <x:row r="13">
      <x:c r="K13" s="28" t="str">
        <x:v>EVIDENCE</x:v>
      </x:c>
      <x:c r="L13" s="28" t="str">
        <x:v>INDUSTRIAL APPLICATION</x:v>
      </x:c>
    </x:row>
    <x:row r="14">
      <x:c r="K14" s="28" t="str">
        <x:v>LIMITATION</x:v>
      </x:c>
      <x:c r="L14" s="28" t="str">
        <x:v>MARINE APPLICATION</x:v>
      </x:c>
    </x:row>
    <x:row r="15">
      <x:c r="K15" s="28" t="str">
        <x:v>QUALITY ASSURANCE</x:v>
      </x:c>
      <x:c r="L15" s="28" t="str">
        <x:v>WOOD APPLICATION</x:v>
      </x:c>
    </x:row>
    <x:row r="16">
      <x:c r="K16" s="28" t="str">
        <x:v>REFERENCE</x:v>
      </x:c>
      <x:c r="L16" s="28" t="str">
        <x:v>WATER APPLICATION</x:v>
      </x:c>
    </x:row>
    <x:row r="17">
      <x:c r="K17" s="28" t="str">
        <x:v>USE CASE</x:v>
      </x:c>
      <x:c r="L17" s="28" t="str">
        <x:v>FIRE APPLICATION</x:v>
      </x:c>
    </x:row>
    <x:row r="18">
      <x:c r="K18" s="28" t="str">
        <x:v>ECONOMIC LOGIC</x:v>
      </x:c>
      <x:c r="L18" s="28" t="str">
        <x:v>ABSTRACT TECHNOLOGY VISUAL</x:v>
      </x:c>
    </x:row>
    <x:row r="19">
      <x:c r="K19" s="28" t="str">
        <x:v>SUSTAINABILITY</x:v>
      </x:c>
      <x:c r="L19" s="28" t="str">
        <x:v>HERO IMAGE</x:v>
      </x:c>
    </x:row>
    <x:row r="20">
      <x:c r="K20" s="28" t="str">
        <x:v>REGULATORY</x:v>
      </x:c>
    </x:row>
    <x:row r="21">
      <x:c r="K21" s="28" t="str">
        <x:v>MARKET</x:v>
      </x:c>
    </x:row>
    <x:row r="22">
      <x:c r="K22" s="28" t="str">
        <x:v>PARTNER CONTENT</x:v>
      </x:c>
    </x:row>
    <x:row r="23">
      <x:c r="K23" s="28" t="str">
        <x:v>FAQ</x:v>
      </x:c>
    </x:row>
    <x:row r="24">
      <x:c r="K24" s="28" t="str">
        <x:v>VISUAL CONTENT</x:v>
      </x:c>
    </x:row>
    <x:row r="25">
      <x:c r="K25" s="28" t="str">
        <x:v>INTERNAL ONLY</x:v>
      </x:c>
    </x:row>
    <x:row r="26">
      <x:c r="K26" s="28" t="str">
        <x:v>POSITIONING</x:v>
      </x:c>
    </x:row>
  </x:sheetData>
  <x:mergeCells>
    <x:mergeCell ref="A1:L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8" hidden="0" customWidth="1"/>
    <x:col min="4" max="4" width="28" hidden="0" customWidth="1"/>
    <x:col min="5" max="5" width="38" hidden="0" customWidth="1"/>
    <x:col min="6" max="6" width="28" hidden="0" customWidth="1"/>
    <x:col min="7" max="7" width="28" hidden="0" customWidth="1"/>
    <x:col min="8" max="8" width="16" hidden="0" customWidth="1"/>
    <x:col min="9" max="9" width="16" hidden="0" customWidth="1"/>
    <x:col min="10" max="10" width="42" hidden="0" customWidth="1"/>
    <x:col min="11" max="11" width="24" hidden="0" customWidth="1"/>
    <x:col min="12" max="12" width="44" hidden="0" customWidth="1"/>
  </x:cols>
  <x:sheetData>
    <x:row r="1" ht="26" customHeight="1">
      <x:c r="A1" s="4" t="str">
        <x:v>02 · TAXONOMY</x:v>
      </x:c>
    </x:row>
    <x:row r="2" ht="42" customHeight="1">
      <x:c r="A2" s="11" t="str">
        <x:v>Stabile IDs entkoppeln Daten von späteren Namens- und Portfolioentscheidungen. Public Level 2 kann später geändert werden.</x:v>
      </x:c>
    </x:row>
    <x:row r="4" ht="34" customHeight="1">
      <x:c r="A4" s="20" t="str">
        <x:v>ENTITY-ID</x:v>
      </x:c>
      <x:c r="B4" s="20" t="str">
        <x:v>PARENT-ID</x:v>
      </x:c>
      <x:c r="C4" s="20" t="str">
        <x:v>LEVEL</x:v>
      </x:c>
      <x:c r="D4" s="20" t="str">
        <x:v>CANONICAL NAME</x:v>
      </x:c>
      <x:c r="E4" s="20" t="str">
        <x:v>ALIASES / PRIOR NAMES</x:v>
      </x:c>
      <x:c r="F4" s="20" t="str">
        <x:v>WEBSITE SLUG</x:v>
      </x:c>
      <x:c r="G4" s="20" t="str">
        <x:v>CURRENT WEBSITE ROLE</x:v>
      </x:c>
      <x:c r="H4" s="20" t="str">
        <x:v>PUBLIC LEVEL 2</x:v>
      </x:c>
      <x:c r="I4" s="20" t="str">
        <x:v>STATUS</x:v>
      </x:c>
      <x:c r="J4" s="20" t="str">
        <x:v>PORTFOLIO DECISION</x:v>
      </x:c>
      <x:c r="K4" s="20" t="str">
        <x:v>TIPMS REFERENCE</x:v>
      </x:c>
      <x:c r="L4" s="20" t="str">
        <x:v>NOTES</x:v>
      </x:c>
    </x:row>
    <x:row r="5" ht="42" customHeight="1">
      <x:c r="A5" s="28" t="str">
        <x:v>PLATFORM-001</x:v>
      </x:c>
      <x:c r="B5" s="28" t="str"/>
      <x:c r="C5" s="28" t="str">
        <x:v>PLATFORM</x:v>
      </x:c>
      <x:c r="D5" s="28" t="str">
        <x:v>PURE TECHNOLOGY PLATFORM</x:v>
      </x:c>
      <x:c r="E5" s="28" t="str">
        <x:v>PURE</x:v>
      </x:c>
      <x:c r="F5" s="28" t="str">
        <x:v>/</x:v>
      </x:c>
      <x:c r="G5" s="28" t="str">
        <x:v>Platform</x:v>
      </x:c>
      <x:c r="H5" s="28" t="str">
        <x:v>N/A</x:v>
      </x:c>
      <x:c r="I5" s="28" t="str">
        <x:v>ACTIVE</x:v>
      </x:c>
      <x:c r="J5" s="28" t="str">
        <x:v>Fixed platform level</x:v>
      </x:c>
      <x:c r="K5" s="28" t="str">
        <x:v>TIPMS V2.0 / Communication Book V1.9</x:v>
      </x:c>
      <x:c r="L5" s="28" t="str"/>
    </x:row>
    <x:row r="6" ht="42" customHeight="1">
      <x:c r="A6" s="28" t="str">
        <x:v>PF-THERMO</x:v>
      </x:c>
      <x:c r="B6" s="28" t="str">
        <x:v>PLATFORM-001</x:v>
      </x:c>
      <x:c r="C6" s="28" t="str">
        <x:v>PRODUCT FAMILY</x:v>
      </x:c>
      <x:c r="D6" s="28" t="str">
        <x:v>PURE THERMO</x:v>
      </x:c>
      <x:c r="E6" s="28" t="str">
        <x:v>Pure Thermo</x:v>
      </x:c>
      <x:c r="F6" s="28" t="str">
        <x:v>/pure-thermo</x:v>
      </x:c>
      <x:c r="G6" s="28" t="str">
        <x:v>Lead Technology</x:v>
      </x:c>
      <x:c r="H6" s="28" t="str">
        <x:v>YES</x:v>
      </x:c>
      <x:c r="I6" s="28" t="str">
        <x:v>ACTIVE</x:v>
      </x:c>
      <x:c r="J6" s="28" t="str">
        <x:v>Public family</x:v>
      </x:c>
      <x:c r="K6" s="28" t="str">
        <x:v>PT-001</x:v>
      </x:c>
      <x:c r="L6" s="28" t="str"/>
    </x:row>
    <x:row r="7" ht="42" customHeight="1">
      <x:c r="A7" s="28" t="str">
        <x:v>SYS-PT-INT</x:v>
      </x:c>
      <x:c r="B7" s="28" t="str">
        <x:v>PF-THERMO</x:v>
      </x:c>
      <x:c r="C7" s="28" t="str">
        <x:v>APPLICATION SYSTEM</x:v>
      </x:c>
      <x:c r="D7" s="28" t="str">
        <x:v>PURE THERMO INTERIOR</x:v>
      </x:c>
      <x:c r="E7" s="28" t="str">
        <x:v>Pure Thermo Interior</x:v>
      </x:c>
      <x:c r="F7" s="28" t="str">
        <x:v>/pure-thermo/interior</x:v>
      </x:c>
      <x:c r="G7" s="28" t="str">
        <x:v>Application System</x:v>
      </x:c>
      <x:c r="H7" s="28" t="str">
        <x:v>N/A</x:v>
      </x:c>
      <x:c r="I7" s="28" t="str">
        <x:v>ACTIVE</x:v>
      </x:c>
      <x:c r="J7" s="28" t="str">
        <x:v>System under PURE THERMO</x:v>
      </x:c>
      <x:c r="K7" s="28" t="str">
        <x:v>PT-001</x:v>
      </x:c>
      <x:c r="L7" s="28" t="str"/>
    </x:row>
    <x:row r="8" ht="42" customHeight="1">
      <x:c r="A8" s="28" t="str">
        <x:v>SYS-PT-EXT</x:v>
      </x:c>
      <x:c r="B8" s="28" t="str">
        <x:v>PF-THERMO</x:v>
      </x:c>
      <x:c r="C8" s="28" t="str">
        <x:v>APPLICATION SYSTEM</x:v>
      </x:c>
      <x:c r="D8" s="28" t="str">
        <x:v>PURE THERMO EXTERIOR</x:v>
      </x:c>
      <x:c r="E8" s="28" t="str">
        <x:v>Pure Thermo Exterior</x:v>
      </x:c>
      <x:c r="F8" s="28" t="str">
        <x:v>/pure-thermo/exterior</x:v>
      </x:c>
      <x:c r="G8" s="28" t="str">
        <x:v>Application System</x:v>
      </x:c>
      <x:c r="H8" s="28" t="str">
        <x:v>N/A</x:v>
      </x:c>
      <x:c r="I8" s="28" t="str">
        <x:v>ACTIVE</x:v>
      </x:c>
      <x:c r="J8" s="28" t="str">
        <x:v>System under PURE THERMO</x:v>
      </x:c>
      <x:c r="K8" s="28" t="str">
        <x:v>PT-001</x:v>
      </x:c>
      <x:c r="L8" s="28" t="str"/>
    </x:row>
    <x:row r="9" ht="42" customHeight="1">
      <x:c r="A9" s="28" t="str">
        <x:v>SYS-PT-DETAIL</x:v>
      </x:c>
      <x:c r="B9" s="28" t="str">
        <x:v>PF-THERMO</x:v>
      </x:c>
      <x:c r="C9" s="28" t="str">
        <x:v>APPLICATION SYSTEM</x:v>
      </x:c>
      <x:c r="D9" s="28" t="str">
        <x:v>PURE THERMO DETAIL</x:v>
      </x:c>
      <x:c r="E9" s="28" t="str">
        <x:v>Pure Thermo Detail</x:v>
      </x:c>
      <x:c r="F9" s="28" t="str">
        <x:v>/pure-thermo/detail</x:v>
      </x:c>
      <x:c r="G9" s="28" t="str">
        <x:v>Application System</x:v>
      </x:c>
      <x:c r="H9" s="28" t="str">
        <x:v>N/A</x:v>
      </x:c>
      <x:c r="I9" s="28" t="str">
        <x:v>ACTIVE</x:v>
      </x:c>
      <x:c r="J9" s="28" t="str">
        <x:v>System under PURE THERMO</x:v>
      </x:c>
      <x:c r="K9" s="28" t="str">
        <x:v>PT-001</x:v>
      </x:c>
      <x:c r="L9" s="28" t="str"/>
    </x:row>
    <x:row r="10" ht="42" customHeight="1">
      <x:c r="A10" s="28" t="str">
        <x:v>SYS-PT-FIRE</x:v>
      </x:c>
      <x:c r="B10" s="28" t="str">
        <x:v>PF-THERMO</x:v>
      </x:c>
      <x:c r="C10" s="28" t="str">
        <x:v>APPLICATION SYSTEM</x:v>
      </x:c>
      <x:c r="D10" s="28" t="str">
        <x:v>PURE THERMO + PURE FIRE</x:v>
      </x:c>
      <x:c r="E10" s="28" t="str">
        <x:v>Pure Thermo + Pure Fire</x:v>
      </x:c>
      <x:c r="F10" s="28" t="str">
        <x:v>/pure-thermo/thermo-fire</x:v>
      </x:c>
      <x:c r="G10" s="28" t="str">
        <x:v>Application System</x:v>
      </x:c>
      <x:c r="H10" s="28" t="str">
        <x:v>N/A</x:v>
      </x:c>
      <x:c r="I10" s="28" t="str">
        <x:v>ACTIVE</x:v>
      </x:c>
      <x:c r="J10" s="28" t="str">
        <x:v>Combination route; system evidence separate</x:v>
      </x:c>
      <x:c r="K10" s="28" t="str">
        <x:v>PT-FIRE-01</x:v>
      </x:c>
      <x:c r="L10" s="28" t="str"/>
    </x:row>
    <x:row r="11" ht="42" customHeight="1">
      <x:c r="A11" s="28" t="str">
        <x:v>PF-LHEAT</x:v>
      </x:c>
      <x:c r="B11" s="28" t="str">
        <x:v>PLATFORM-001</x:v>
      </x:c>
      <x:c r="C11" s="28" t="str">
        <x:v>PRODUCT FAMILY</x:v>
      </x:c>
      <x:c r="D11" s="28" t="str">
        <x:v>PURE LIQUID HEAT</x:v>
      </x:c>
      <x:c r="E11" s="28" t="str">
        <x:v>Pure Liquid Heat; PureLiquid Heat; Liquid Heat</x:v>
      </x:c>
      <x:c r="F11" s="28" t="str">
        <x:v>/pure-liquid-heat</x:v>
      </x:c>
      <x:c r="G11" s="28" t="str">
        <x:v>Product Family</x:v>
      </x:c>
      <x:c r="H11" s="28" t="str">
        <x:v>YES</x:v>
      </x:c>
      <x:c r="I11" s="28" t="str">
        <x:v>ACTIVE</x:v>
      </x:c>
      <x:c r="J11" s="28" t="str">
        <x:v>Public family</x:v>
      </x:c>
      <x:c r="K11" s="28" t="str">
        <x:v>PLH-001</x:v>
      </x:c>
      <x:c r="L11" s="28" t="str"/>
    </x:row>
    <x:row r="12" ht="42" customHeight="1">
      <x:c r="A12" s="28" t="str">
        <x:v>PF-FIRE</x:v>
      </x:c>
      <x:c r="B12" s="28" t="str">
        <x:v>PLATFORM-001</x:v>
      </x:c>
      <x:c r="C12" s="28" t="str">
        <x:v>PRODUCT FAMILY</x:v>
      </x:c>
      <x:c r="D12" s="28" t="str">
        <x:v>PURE FIRE PROTECT</x:v>
      </x:c>
      <x:c r="E12" s="28" t="str">
        <x:v>Pure Fire; Pure Fire Protect</x:v>
      </x:c>
      <x:c r="F12" s="28" t="str">
        <x:v>/pure-fire-protect</x:v>
      </x:c>
      <x:c r="G12" s="28" t="str">
        <x:v>Product Family</x:v>
      </x:c>
      <x:c r="H12" s="28" t="str">
        <x:v>YES</x:v>
      </x:c>
      <x:c r="I12" s="28" t="str">
        <x:v>ACTIVE</x:v>
      </x:c>
      <x:c r="J12" s="28" t="str">
        <x:v>Public family</x:v>
      </x:c>
      <x:c r="K12" s="28" t="str">
        <x:v>TIPMS Prüf-/Produktakte</x:v>
      </x:c>
      <x:c r="L12" s="28" t="str"/>
    </x:row>
    <x:row r="13" ht="42" customHeight="1">
      <x:c r="A13" s="28" t="str">
        <x:v>PF-SURFACE</x:v>
      </x:c>
      <x:c r="B13" s="28" t="str">
        <x:v>PLATFORM-001</x:v>
      </x:c>
      <x:c r="C13" s="28" t="str">
        <x:v>PRODUCT FAMILY</x:v>
      </x:c>
      <x:c r="D13" s="28" t="str">
        <x:v>PURE SURFACE PROTECT</x:v>
      </x:c>
      <x:c r="E13" s="28" t="str">
        <x:v>Pure Surface Protect; Pure Protect Surface; Surface Protect</x:v>
      </x:c>
      <x:c r="F13" s="28" t="str">
        <x:v>/pure-surface-protect</x:v>
      </x:c>
      <x:c r="G13" s="28" t="str">
        <x:v>Product Family</x:v>
      </x:c>
      <x:c r="H13" s="28" t="str">
        <x:v>YES</x:v>
      </x:c>
      <x:c r="I13" s="28" t="str">
        <x:v>ACTIVE</x:v>
      </x:c>
      <x:c r="J13" s="28" t="str">
        <x:v>Public family</x:v>
      </x:c>
      <x:c r="K13" s="28" t="str">
        <x:v>PSP-FAC-01</x:v>
      </x:c>
      <x:c r="L13" s="28" t="str"/>
    </x:row>
    <x:row r="14" ht="42" customHeight="1">
      <x:c r="A14" s="28" t="str">
        <x:v>PF-WATER</x:v>
      </x:c>
      <x:c r="B14" s="28" t="str">
        <x:v>PLATFORM-001</x:v>
      </x:c>
      <x:c r="C14" s="28" t="str">
        <x:v>PRODUCT FAMILY</x:v>
      </x:c>
      <x:c r="D14" s="28" t="str">
        <x:v>PURE WATER PROTECT</x:v>
      </x:c>
      <x:c r="E14" s="28" t="str">
        <x:v>Pure Water Protect</x:v>
      </x:c>
      <x:c r="F14" s="28" t="str">
        <x:v>/pure-water-protect</x:v>
      </x:c>
      <x:c r="G14" s="28" t="str">
        <x:v>Product Family</x:v>
      </x:c>
      <x:c r="H14" s="28" t="str">
        <x:v>YES</x:v>
      </x:c>
      <x:c r="I14" s="28" t="str">
        <x:v>ACTIVE</x:v>
      </x:c>
      <x:c r="J14" s="28" t="str">
        <x:v>Public family</x:v>
      </x:c>
      <x:c r="K14" s="28" t="str">
        <x:v>PWP-MAR-01</x:v>
      </x:c>
      <x:c r="L14" s="28" t="str"/>
    </x:row>
    <x:row r="15" ht="42" customHeight="1">
      <x:c r="A15" s="28" t="str">
        <x:v>PF-WOOD</x:v>
      </x:c>
      <x:c r="B15" s="28" t="str">
        <x:v>PLATFORM-001</x:v>
      </x:c>
      <x:c r="C15" s="28" t="str">
        <x:v>PRODUCT FAMILY</x:v>
      </x:c>
      <x:c r="D15" s="28" t="str">
        <x:v>PURE WOOD PROTECT</x:v>
      </x:c>
      <x:c r="E15" s="28" t="str">
        <x:v>Pure Wood Protect</x:v>
      </x:c>
      <x:c r="F15" s="28" t="str">
        <x:v>/pure-wood-protect</x:v>
      </x:c>
      <x:c r="G15" s="28" t="str">
        <x:v>Product Family</x:v>
      </x:c>
      <x:c r="H15" s="28" t="str">
        <x:v>YES</x:v>
      </x:c>
      <x:c r="I15" s="28" t="str">
        <x:v>ACTIVE</x:v>
      </x:c>
      <x:c r="J15" s="28" t="str">
        <x:v>Public family</x:v>
      </x:c>
      <x:c r="K15" s="28" t="str">
        <x:v>PWOOD-ARCH-01</x:v>
      </x:c>
      <x:c r="L15" s="28" t="str"/>
    </x:row>
    <x:row r="16" ht="42" customHeight="1">
      <x:c r="A16" s="28" t="str">
        <x:v>PF-BOAT</x:v>
      </x:c>
      <x:c r="B16" s="28" t="str">
        <x:v>PLATFORM-001</x:v>
      </x:c>
      <x:c r="C16" s="28" t="str">
        <x:v>PRODUCT FAMILY</x:v>
      </x:c>
      <x:c r="D16" s="28" t="str">
        <x:v>PURE BOAT PROTECT</x:v>
      </x:c>
      <x:c r="E16" s="28" t="str">
        <x:v>Pure Boat Protect</x:v>
      </x:c>
      <x:c r="F16" s="28" t="str">
        <x:v>/pure-boat-protect</x:v>
      </x:c>
      <x:c r="G16" s="28" t="str">
        <x:v>Product Family</x:v>
      </x:c>
      <x:c r="H16" s="28" t="str">
        <x:v>YES</x:v>
      </x:c>
      <x:c r="I16" s="28" t="str">
        <x:v>ACTIVE</x:v>
      </x:c>
      <x:c r="J16" s="28" t="str">
        <x:v>Public family</x:v>
      </x:c>
      <x:c r="K16" s="28" t="str">
        <x:v>TIPMS Product Family</x:v>
      </x:c>
      <x:c r="L16" s="28" t="str"/>
    </x:row>
    <x:row r="17" ht="42" customHeight="1">
      <x:c r="A17" s="28" t="str">
        <x:v>PF-FLOOR</x:v>
      </x:c>
      <x:c r="B17" s="28" t="str">
        <x:v>PLATFORM-001</x:v>
      </x:c>
      <x:c r="C17" s="28" t="str">
        <x:v>PRODUCT FAMILY</x:v>
      </x:c>
      <x:c r="D17" s="28" t="str">
        <x:v>PURE FLOOR PROTECT</x:v>
      </x:c>
      <x:c r="E17" s="28" t="str">
        <x:v>Pure Floor Protect</x:v>
      </x:c>
      <x:c r="F17" s="28" t="str">
        <x:v>/pure-floor-protect</x:v>
      </x:c>
      <x:c r="G17" s="28" t="str">
        <x:v>Portfolio candidate</x:v>
      </x:c>
      <x:c r="H17" s="28" t="str">
        <x:v>PENDING</x:v>
      </x:c>
      <x:c r="I17" s="28" t="str">
        <x:v>PENDING</x:v>
      </x:c>
      <x:c r="J17" s="28" t="str">
        <x:v>Open: family vs. subsystem vs. internal</x:v>
      </x:c>
      <x:c r="K17" s="28" t="str">
        <x:v>TIPMS Product Family</x:v>
      </x:c>
      <x:c r="L17" s="28" t="str">
        <x:v>Do not delete; classification intentionally open.</x:v>
      </x:c>
    </x:row>
    <x:row r="18" ht="42" customHeight="1">
      <x:c r="A18" s="28" t="str">
        <x:v>PF-T730</x:v>
      </x:c>
      <x:c r="B18" s="28" t="str">
        <x:v>PLATFORM-001</x:v>
      </x:c>
      <x:c r="C18" s="28" t="str">
        <x:v>PRODUCT FAMILY</x:v>
      </x:c>
      <x:c r="D18" s="28" t="str">
        <x:v>PURE PROTECT T730</x:v>
      </x:c>
      <x:c r="E18" s="28" t="str">
        <x:v>Pure Protect T 730; Pure Protect T730</x:v>
      </x:c>
      <x:c r="F18" s="28" t="str">
        <x:v>/pure-protect-t730</x:v>
      </x:c>
      <x:c r="G18" s="28" t="str">
        <x:v>Portfolio candidate</x:v>
      </x:c>
      <x:c r="H18" s="28" t="str">
        <x:v>PENDING</x:v>
      </x:c>
      <x:c r="I18" s="28" t="str">
        <x:v>PENDING</x:v>
      </x:c>
      <x:c r="J18" s="28" t="str">
        <x:v>Open: family vs. subsystem vs. internal</x:v>
      </x:c>
      <x:c r="K18" s="28" t="str">
        <x:v>PPT-730-01</x:v>
      </x:c>
      <x:c r="L18" s="28" t="str">
        <x:v>Do not delete; classification intentionally open.</x:v>
      </x:c>
    </x:row>
    <x:row r="19" ht="42" customHeight="1">
      <x:c r="A19" s="28" t="str">
        <x:v>TECH-PV</x:v>
      </x:c>
      <x:c r="B19" s="28" t="str">
        <x:v>PLATFORM-001</x:v>
      </x:c>
      <x:c r="C19" s="28" t="str">
        <x:v>OUTSIDE CURRENT WEBSITE SCOPE</x:v>
      </x:c>
      <x:c r="D19" s="28" t="str">
        <x:v>PV-KUNSTSTOFFFOLIE</x:v>
      </x:c>
      <x:c r="E19" s="28" t="str">
        <x:v>PV-Kunststofffolie</x:v>
      </x:c>
      <x:c r="F19" s="28" t="str"/>
      <x:c r="G19" s="28" t="str">
        <x:v>Technical portfolio / outside current PURE website</x:v>
      </x:c>
      <x:c r="H19" s="28" t="str">
        <x:v>NO</x:v>
      </x:c>
      <x:c r="I19" s="28" t="str">
        <x:v>HOLD</x:v>
      </x:c>
      <x:c r="J19" s="28" t="str">
        <x:v>Not part of current public website portfolio</x:v>
      </x:c>
      <x:c r="K19" s="28" t="str">
        <x:v>TIPMS PV concepts</x:v>
      </x:c>
      <x:c r="L19" s="28" t="str">
        <x:v>Preserved only for traceability of imported TIPMS sources/claims.</x:v>
      </x:c>
    </x:row>
    <x:row r="20">
      <x:c r="A20" t="str">
        <x:v>SYS-LH-INT</x:v>
      </x:c>
      <x:c r="B20" t="str">
        <x:v>PF-LHEAT</x:v>
      </x:c>
      <x:c r="C20" t="str">
        <x:v>APPLICATION SYSTEM</x:v>
      </x:c>
      <x:c r="D20" t="str">
        <x:v>PURE LIQUID HEAT INTERIOR COMFORT</x:v>
      </x:c>
      <x:c r="E20" t="str">
        <x:v>Interior Comfort</x:v>
      </x:c>
      <x:c r="F20" t="str">
        <x:v>/pure-liquid-heat/interior-comfort</x:v>
      </x:c>
      <x:c r="G20" t="str">
        <x:v>Proposed System Class</x:v>
      </x:c>
      <x:c r="H20" t="str">
        <x:v>N/A</x:v>
      </x:c>
      <x:c r="I20" t="str">
        <x:v>PENDING</x:v>
      </x:c>
      <x:c r="J20" t="str">
        <x:v>Recommended in Master Deck; final definition and test scope open</x:v>
      </x:c>
      <x:c r="K20" t="str">
        <x:v>PLH-001</x:v>
      </x:c>
      <x:c r="L20" t="str">
        <x:v>Keep flexible; not yet a separately validated public system.</x:v>
      </x:c>
    </x:row>
    <x:row r="21">
      <x:c r="A21" t="str">
        <x:v>SYS-LH-OUT</x:v>
      </x:c>
      <x:c r="B21" t="str">
        <x:v>PF-LHEAT</x:v>
      </x:c>
      <x:c r="C21" t="str">
        <x:v>APPLICATION SYSTEM</x:v>
      </x:c>
      <x:c r="D21" t="str">
        <x:v>PURE LIQUID HEAT OUTDOOR HOSPITALITY</x:v>
      </x:c>
      <x:c r="E21" t="str">
        <x:v>Outdoor Hospitality</x:v>
      </x:c>
      <x:c r="F21" t="str">
        <x:v>/pure-liquid-heat/outdoor-hospitality</x:v>
      </x:c>
      <x:c r="G21" t="str">
        <x:v>Proposed System Class</x:v>
      </x:c>
      <x:c r="H21" t="str">
        <x:v>N/A</x:v>
      </x:c>
      <x:c r="I21" t="str">
        <x:v>PENDING</x:v>
      </x:c>
      <x:c r="J21" t="str">
        <x:v>Recommended in Master Deck; final definition, IP and safety scope open</x:v>
      </x:c>
      <x:c r="K21" t="str">
        <x:v>PLH-001</x:v>
      </x:c>
      <x:c r="L21" t="str">
        <x:v>Use initially as application grouping, not as certified system name.</x:v>
      </x:c>
    </x:row>
    <x:row r="22">
      <x:c r="A22" t="str">
        <x:v>SYS-LH-OEM</x:v>
      </x:c>
      <x:c r="B22" t="str">
        <x:v>PF-LHEAT</x:v>
      </x:c>
      <x:c r="C22" t="str">
        <x:v>APPLICATION SYSTEM</x:v>
      </x:c>
      <x:c r="D22" t="str">
        <x:v>PURE LIQUID HEAT OEM HEATING MODULE</x:v>
      </x:c>
      <x:c r="E22" t="str">
        <x:v>OEM Heating Module</x:v>
      </x:c>
      <x:c r="F22" t="str">
        <x:v>/pure-liquid-heat/oem-heating-module</x:v>
      </x:c>
      <x:c r="G22" t="str">
        <x:v>Proposed System Class</x:v>
      </x:c>
      <x:c r="H22" t="str">
        <x:v>N/A</x:v>
      </x:c>
      <x:c r="I22" t="str">
        <x:v>PENDING</x:v>
      </x:c>
      <x:c r="J22" t="str">
        <x:v>Recommended in Master Deck; partner-specific system definition open</x:v>
      </x:c>
      <x:c r="K22" t="str">
        <x:v>PLH-001</x:v>
      </x:c>
      <x:c r="L22" t="str">
        <x:v>OEM scope must be defined per substrate, electronics and end product.</x:v>
      </x:c>
    </x:row>
  </x:sheetData>
  <x:mergeCells>
    <x:mergeCell ref="A1:L1"/>
    <x:mergeCell ref="A2:L2"/>
  </x:mergeCells>
  <x:conditionalFormatting sqref="H5:I200">
    <x:cfRule type="expression" dxfId="0" priority="1">
      <x:formula>OR(H5="PENDING",I5="PENDING")</x:formula>
    </x:cfRule>
  </x:conditionalFormatting>
  <x:dataValidations count="2">
    <x:dataValidation type="list" sqref="H5:H200">
      <x:formula1>99_LISTS!$D$4:$D$7</x:formula1>
    </x:dataValidation>
    <x:dataValidation type="list" sqref="I5:I200">
      <x:formula1>"ACTIVE,PENDING,HOLD,SUPERSEDED"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2ad0d31c3a9433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2" hidden="0" customWidth="1"/>
    <x:col min="5" max="5" width="26" hidden="0" customWidth="1"/>
    <x:col min="6" max="6" width="16" hidden="0" customWidth="1"/>
    <x:col min="7" max="7" width="38" hidden="0" customWidth="1"/>
    <x:col min="8" max="8" width="16" hidden="0" customWidth="1"/>
    <x:col min="9" max="9" width="24" hidden="0" customWidth="1"/>
    <x:col min="10" max="10" width="48" hidden="0" customWidth="1"/>
    <x:col min="11" max="11" width="44" hidden="0" customWidth="1"/>
    <x:col min="12" max="12" width="44" hidden="0" customWidth="1"/>
    <x:col min="13" max="13" width="38" hidden="0" customWidth="1"/>
    <x:col min="14" max="14" width="14" hidden="0" customWidth="1"/>
    <x:col min="15" max="15" width="22" hidden="0" customWidth="1"/>
    <x:col min="16" max="16" width="26" hidden="0" customWidth="1"/>
    <x:col min="17" max="17" width="40" hidden="0" customWidth="1"/>
    <x:col min="18" max="18" width="24" hidden="0" customWidth="1"/>
    <x:col min="19" max="19" width="28" hidden="0" customWidth="1"/>
    <x:col min="20" max="20" width="28" hidden="0" customWidth="1"/>
    <x:col min="21" max="21" width="28" hidden="0" customWidth="1"/>
    <x:col min="22" max="22" width="24" hidden="0" customWidth="1"/>
    <x:col min="23" max="23" width="14" hidden="0" customWidth="1"/>
    <x:col min="24" max="24" width="14" hidden="0" customWidth="1"/>
    <x:col min="25" max="25" width="16" hidden="0" customWidth="1"/>
    <x:col min="26" max="26" width="16" hidden="0" customWidth="1"/>
    <x:col min="27" max="27" width="16" hidden="0" customWidth="1"/>
    <x:col min="28" max="28" width="14" hidden="0" customWidth="1"/>
    <x:col min="29" max="29" width="16" hidden="0" customWidth="1"/>
    <x:col min="30" max="30" width="30" hidden="0" customWidth="1"/>
    <x:col min="31" max="31" width="16" hidden="0" customWidth="1"/>
    <x:col min="32" max="32" width="18" hidden="0" customWidth="1"/>
    <x:col min="33" max="33" width="16" hidden="0" customWidth="1"/>
    <x:col min="34" max="34" width="40" hidden="0" customWidth="1"/>
    <x:col min="35" max="35" width="40" hidden="0" customWidth="1"/>
  </x:cols>
  <x:sheetData>
    <x:row r="1" ht="26" customHeight="1">
      <x:c r="A1" s="4" t="str">
        <x:v>03 · CONTENT MASTER</x:v>
      </x:c>
    </x:row>
    <x:row r="2" ht="42" customHeight="1">
      <x:c r="A2" s="11" t="str">
        <x:v>Kontrollierte Website-Übersetzung. Seed-Einträge sind nur solche Positionierungen/Governance-Aussagen, die aus den aktuell vorliegenden Masterdokumenten eindeutig hervorgehen.</x:v>
      </x:c>
    </x:row>
    <x:row r="4" ht="34" customHeight="1">
      <x:c r="A4" s="20" t="str">
        <x:v>CONTENT-ID</x:v>
      </x:c>
      <x:c r="B4" s="20" t="str">
        <x:v>PRODUCT FAMILY ID</x:v>
      </x:c>
      <x:c r="C4" s="20" t="str">
        <x:v>SYSTEM / VARIANT ID</x:v>
      </x:c>
      <x:c r="D4" s="20" t="str">
        <x:v>CONTENT TYPE</x:v>
      </x:c>
      <x:c r="E4" s="20" t="str">
        <x:v>TOPIC</x:v>
      </x:c>
      <x:c r="F4" s="20" t="str">
        <x:v>SOURCE-ID</x:v>
      </x:c>
      <x:c r="G4" s="20" t="str">
        <x:v>SOURCE DOCUMENT</x:v>
      </x:c>
      <x:c r="H4" s="20" t="str">
        <x:v>SOURCE VERSION</x:v>
      </x:c>
      <x:c r="I4" s="20" t="str">
        <x:v>SOURCE LOCATION / PAGE</x:v>
      </x:c>
      <x:c r="J4" s="20" t="str">
        <x:v>ORIGINAL FACT / SOURCE STATEMENT</x:v>
      </x:c>
      <x:c r="K4" s="20" t="str">
        <x:v>WEBSITE-SAFE CLAIM</x:v>
      </x:c>
      <x:c r="L4" s="20" t="str">
        <x:v>TECHNICAL WORDING</x:v>
      </x:c>
      <x:c r="M4" s="20" t="str">
        <x:v>PUBLIC WORDING</x:v>
      </x:c>
      <x:c r="N4" s="20" t="str">
        <x:v>EVIDENCE LEVEL</x:v>
      </x:c>
      <x:c r="O4" s="20" t="str">
        <x:v>EVIDENCE TYPE</x:v>
      </x:c>
      <x:c r="P4" s="20" t="str">
        <x:v>SCOPE</x:v>
      </x:c>
      <x:c r="Q4" s="20" t="str">
        <x:v>LIMITATION</x:v>
      </x:c>
      <x:c r="R4" s="20" t="str">
        <x:v>REGULATORY RELEVANCE</x:v>
      </x:c>
      <x:c r="S4" s="20" t="str">
        <x:v>TARGET AUDIENCE</x:v>
      </x:c>
      <x:c r="T4" s="20" t="str">
        <x:v>WEBSITE PAGE</x:v>
      </x:c>
      <x:c r="U4" s="20" t="str">
        <x:v>WEBSITE SECTION</x:v>
      </x:c>
      <x:c r="V4" s="20" t="str">
        <x:v>CONTENT ROLE</x:v>
      </x:c>
      <x:c r="W4" s="20" t="str">
        <x:v>PRIORITY</x:v>
      </x:c>
      <x:c r="X4" s="20" t="str">
        <x:v>VISIBILITY</x:v>
      </x:c>
      <x:c r="Y4" s="20" t="str">
        <x:v>CLAIM STATUS</x:v>
      </x:c>
      <x:c r="Z4" s="20" t="str">
        <x:v>TECHNICAL REVIEW</x:v>
      </x:c>
      <x:c r="AA4" s="20" t="str">
        <x:v>REGULATORY REVIEW</x:v>
      </x:c>
      <x:c r="AB4" s="20" t="str">
        <x:v>VISUAL REQUIRED</x:v>
      </x:c>
      <x:c r="AC4" s="20" t="str">
        <x:v>VISUAL-ID</x:v>
      </x:c>
      <x:c r="AD4" s="20" t="str">
        <x:v>EXISTING ASSET</x:v>
      </x:c>
      <x:c r="AE4" s="20" t="str">
        <x:v>NEW VISUAL REQUIRED</x:v>
      </x:c>
      <x:c r="AF4" s="20" t="str">
        <x:v>CONFLICT-ID</x:v>
      </x:c>
      <x:c r="AG4" s="20" t="str">
        <x:v>STATUS</x:v>
      </x:c>
      <x:c r="AH4" s="20" t="str">
        <x:v>OPEN QUESTION</x:v>
      </x:c>
      <x:c r="AI4" s="20" t="str">
        <x:v>NEXT REQUIRED SOURCE</x:v>
      </x:c>
    </x:row>
    <x:row r="5" ht="42" customHeight="1">
      <x:c r="A5" s="28" t="str">
        <x:v>WCM-PLAT-001</x:v>
      </x:c>
      <x:c r="B5" s="28" t="str">
        <x:v>PLATFORM-001</x:v>
      </x:c>
      <x:c r="C5" s="28" t="str"/>
      <x:c r="D5" s="28" t="str">
        <x:v>POSITIONING</x:v>
      </x:c>
      <x:c r="E5" s="28" t="str">
        <x:v>Platform Positioning</x:v>
      </x:c>
      <x:c r="F5" s="28" t="str">
        <x:v>BRIEF-SEP26</x:v>
      </x:c>
      <x:c r="G5" s="28" t="str">
        <x:v>Website Project Handover – September 2026</x:v>
      </x:c>
      <x:c r="H5" s="28" t="str">
        <x:v>Sep 2026</x:v>
      </x:c>
      <x:c r="I5" s="28" t="str">
        <x:v>Positioning section</x:v>
      </x:c>
      <x:c r="J5" s="28" t="str">
        <x:v>PURE soll als Technologieplattform funktionaler Beschichtungen verstanden werden; nicht als einzelner Dämmstoff, einzelne Farbe oder einzelnes Bauprodukt.</x:v>
      </x:c>
      <x:c r="K5" s="28" t="str">
        <x:v>Funktionale Beschichtungen, die Oberflächen neue Eigenschaften geben.</x:v>
      </x:c>
      <x:c r="L5" s="28" t="str">
        <x:v>PURE verbindet spezialisierte funktionale Beschichtungstechnologien mit gemeinsamer Entwicklungs-, System-, Prüf-, Evidenz- und Dokumentationslogik.</x:v>
      </x:c>
      <x:c r="M5" s="28" t="str">
        <x:v>Funktionale Beschichtungen, die Oberflächen neue Eigenschaften geben.</x:v>
      </x:c>
      <x:c r="N5" s="28" t="str">
        <x:v>B</x:v>
      </x:c>
      <x:c r="O5" s="28" t="str">
        <x:v>Communication / positioning</x:v>
      </x:c>
      <x:c r="P5" s="28" t="str">
        <x:v>Platform</x:v>
      </x:c>
      <x:c r="Q5" s="28" t="str">
        <x:v>Keine technische Leistungszusage.</x:v>
      </x:c>
      <x:c r="R5" s="28" t="str">
        <x:v>Low</x:v>
      </x:c>
      <x:c r="S5" s="28" t="str">
        <x:v>All</x:v>
      </x:c>
      <x:c r="T5" s="28" t="str">
        <x:v>/</x:v>
      </x:c>
      <x:c r="U5" s="28" t="str">
        <x:v>WHAT IS PURE?</x:v>
      </x:c>
      <x:c r="V5" s="28" t="str">
        <x:v>Core positioning</x:v>
      </x:c>
      <x:c r="W5" s="28" t="str">
        <x:v>CRITICAL</x:v>
      </x:c>
      <x:c r="X5" s="28" t="str">
        <x:v>PUBLIC</x:v>
      </x:c>
      <x:c r="Y5" s="28" t="str">
        <x:v>IN REVIEW</x:v>
      </x:c>
      <x:c r="Z5" s="28" t="str">
        <x:v>IN REVIEW</x:v>
      </x:c>
      <x:c r="AA5" s="28" t="str">
        <x:v>N/A</x:v>
      </x:c>
      <x:c r="AB5" s="28" t="str">
        <x:v>YES</x:v>
      </x:c>
      <x:c r="AC5" s="28" t="str"/>
      <x:c r="AD5" s="28" t="str"/>
      <x:c r="AE5" s="28" t="str">
        <x:v>YES</x:v>
      </x:c>
      <x:c r="AF5" s="28" t="str"/>
      <x:c r="AG5" s="28" t="str">
        <x:v>IN REVIEW</x:v>
      </x:c>
      <x:c r="AH5" s="28" t="str"/>
      <x:c r="AI5" s="28" t="str">
        <x:v>Original website copy / final brand approval</x:v>
      </x:c>
    </x:row>
    <x:row r="6" ht="42" customHeight="1">
      <x:c r="A6" s="28" t="str">
        <x:v>WCM-PLAT-002</x:v>
      </x:c>
      <x:c r="B6" s="28" t="str">
        <x:v>PLATFORM-001</x:v>
      </x:c>
      <x:c r="C6" s="28" t="str"/>
      <x:c r="D6" s="28" t="str">
        <x:v>EVIDENCE</x:v>
      </x:c>
      <x:c r="E6" s="28" t="str">
        <x:v>Evidence Principle</x:v>
      </x:c>
      <x:c r="F6" s="28" t="str">
        <x:v>BRIEF-SEP26</x:v>
      </x:c>
      <x:c r="G6" s="28" t="str">
        <x:v>Website Project Handover – September 2026</x:v>
      </x:c>
      <x:c r="H6" s="28" t="str">
        <x:v>Sep 2026</x:v>
      </x:c>
      <x:c r="I6" s="28" t="str">
        <x:v>Evidence system</x:v>
      </x:c>
      <x:c r="J6" s="28" t="str">
        <x:v>Zentrales Prinzip: Wir unterscheiden Wissen von Annahmen. A extern geprüft, B intern dokumentiert, C berechnet/modelliert, D Entwicklungsstatus.</x:v>
      </x:c>
      <x:c r="K6" s="28" t="str">
        <x:v>Wir unterscheiden Wissen von Annahmen.</x:v>
      </x:c>
      <x:c r="L6" s="28" t="str">
        <x:v>Jeder Claim wird mit der Art und Belastbarkeit seiner Grundlage geführt; Materialkennwert, Systemnachweis, Bauteilwirkung, Gebäudewirkung und regulatorische Anerkennung bleiben getrennt.</x:v>
      </x:c>
      <x:c r="M6" s="28" t="str">
        <x:v>Wir unterscheiden Wissen von Annahmen.</x:v>
      </x:c>
      <x:c r="N6" s="28" t="str">
        <x:v>B</x:v>
      </x:c>
      <x:c r="O6" s="28" t="str">
        <x:v>Governance</x:v>
      </x:c>
      <x:c r="P6" s="28" t="str">
        <x:v>Platform</x:v>
      </x:c>
      <x:c r="Q6" s="28" t="str">
        <x:v>A–D sind keine Schulnoten und gelten claimbezogen.</x:v>
      </x:c>
      <x:c r="R6" s="28" t="str">
        <x:v>High</x:v>
      </x:c>
      <x:c r="S6" s="28" t="str">
        <x:v>All</x:v>
      </x:c>
      <x:c r="T6" s="28" t="str">
        <x:v>/</x:v>
      </x:c>
      <x:c r="U6" s="28" t="str">
        <x:v>WHAT IS PROVEN?</x:v>
      </x:c>
      <x:c r="V6" s="28" t="str">
        <x:v>Evidence governance</x:v>
      </x:c>
      <x:c r="W6" s="28" t="str">
        <x:v>CRITICAL</x:v>
      </x:c>
      <x:c r="X6" s="28" t="str">
        <x:v>PUBLIC</x:v>
      </x:c>
      <x:c r="Y6" s="28" t="str">
        <x:v>IN REVIEW</x:v>
      </x:c>
      <x:c r="Z6" s="28" t="str">
        <x:v>IN REVIEW</x:v>
      </x:c>
      <x:c r="AA6" s="28" t="str">
        <x:v>IN REVIEW</x:v>
      </x:c>
      <x:c r="AB6" s="28" t="str">
        <x:v>YES</x:v>
      </x:c>
      <x:c r="AC6" s="28" t="str"/>
      <x:c r="AD6" s="28" t="str"/>
      <x:c r="AE6" s="28" t="str">
        <x:v>YES</x:v>
      </x:c>
      <x:c r="AF6" s="28" t="str"/>
      <x:c r="AG6" s="28" t="str">
        <x:v>IN REVIEW</x:v>
      </x:c>
      <x:c r="AH6" s="28" t="str"/>
      <x:c r="AI6" s="28" t="str">
        <x:v>Final public evidence-language approval</x:v>
      </x:c>
    </x:row>
    <x:row r="7" ht="42" customHeight="1">
      <x:c r="A7" s="28" t="str">
        <x:v>WCM-PT-001</x:v>
      </x:c>
      <x:c r="B7" s="28" t="str">
        <x:v>PF-THERMO</x:v>
      </x:c>
      <x:c r="C7" s="28" t="str"/>
      <x:c r="D7" s="28" t="str">
        <x:v>POSITIONING</x:v>
      </x:c>
      <x:c r="E7" s="28" t="str">
        <x:v>Pure Thermo positioning</x:v>
      </x:c>
      <x:c r="F7" s="28" t="str">
        <x:v>COM-1.9</x:v>
      </x:c>
      <x:c r="G7" s="28" t="str">
        <x:v>TII Master Communication Book V1.9</x:v>
      </x:c>
      <x:c r="H7" s="28" t="str">
        <x:v>1.9</x:v>
      </x:c>
      <x:c r="I7" s="28" t="str">
        <x:v>Product positioning – Pure Thermo</x:v>
      </x:c>
      <x:c r="J7" s="28" t="str">
        <x:v>Pure Thermo wird als thermische Funktionsbeschichtung für anspruchsvolle Sanierungs- und Detailanwendungen positioniert; keine universelle Ersatzlösung für alle Dämmmaßnahmen.</x:v>
      </x:c>
      <x:c r="K7" s="28" t="str">
        <x:v>Thermische Funktionsbeschichtung für klar definierte Sanierungs- und Detailanwendungen.</x:v>
      </x:c>
      <x:c r="L7" s="28" t="str">
        <x:v>Spezialisierte thermische Funktionsbeschichtung mit geringer Aufbauhöhe und klar definierten Anwendungsgrenzen.</x:v>
      </x:c>
      <x:c r="M7" s="28" t="str">
        <x:v>Thermische Funktionsbeschichtung für anspruchsvolle Sanierungs- und Detailanwendungen.</x:v>
      </x:c>
      <x:c r="N7" s="28" t="str">
        <x:v>B</x:v>
      </x:c>
      <x:c r="O7" s="28" t="str">
        <x:v>Communication / product positioning</x:v>
      </x:c>
      <x:c r="P7" s="28" t="str">
        <x:v>PURE THERMO</x:v>
      </x:c>
      <x:c r="Q7" s="28" t="str">
        <x:v>Nicht als universeller WDVS-Ersatz kommunizieren.</x:v>
      </x:c>
      <x:c r="R7" s="28" t="str">
        <x:v>Medium</x:v>
      </x:c>
      <x:c r="S7" s="28" t="str">
        <x:v>Architects; planners; energy consultants; partners</x:v>
      </x:c>
      <x:c r="T7" s="28" t="str">
        <x:v>/pure-thermo</x:v>
      </x:c>
      <x:c r="U7" s="28" t="str">
        <x:v>WHAT IS PURE THERMO?</x:v>
      </x:c>
      <x:c r="V7" s="28" t="str">
        <x:v>Product positioning</x:v>
      </x:c>
      <x:c r="W7" s="28" t="str">
        <x:v>CRITICAL</x:v>
      </x:c>
      <x:c r="X7" s="28" t="str">
        <x:v>PUBLIC</x:v>
      </x:c>
      <x:c r="Y7" s="28" t="str">
        <x:v>IN REVIEW</x:v>
      </x:c>
      <x:c r="Z7" s="28" t="str">
        <x:v>IN REVIEW</x:v>
      </x:c>
      <x:c r="AA7" s="28" t="str">
        <x:v>N/A</x:v>
      </x:c>
      <x:c r="AB7" s="28" t="str">
        <x:v>YES</x:v>
      </x:c>
      <x:c r="AC7" s="28" t="str"/>
      <x:c r="AD7" s="28" t="str"/>
      <x:c r="AE7" s="28" t="str">
        <x:v>YES</x:v>
      </x:c>
      <x:c r="AF7" s="28" t="str"/>
      <x:c r="AG7" s="28" t="str">
        <x:v>IN REVIEW</x:v>
      </x:c>
      <x:c r="AH7" s="28" t="str"/>
      <x:c r="AI7" s="28" t="str">
        <x:v>Original product and test documents</x:v>
      </x:c>
    </x:row>
    <x:row r="8" ht="42" customHeight="1">
      <x:c r="A8" s="28" t="str">
        <x:v>WCM-PT-002</x:v>
      </x:c>
      <x:c r="B8" s="28" t="str">
        <x:v>PF-THERMO</x:v>
      </x:c>
      <x:c r="C8" s="28" t="str"/>
      <x:c r="D8" s="28" t="str">
        <x:v>LIMITATION</x:v>
      </x:c>
      <x:c r="E8" s="28" t="str">
        <x:v>WDVS boundary</x:v>
      </x:c>
      <x:c r="F8" s="28" t="str">
        <x:v>COM-1.9</x:v>
      </x:c>
      <x:c r="G8" s="28" t="str">
        <x:v>TII Master Communication Book V1.9</x:v>
      </x:c>
      <x:c r="H8" s="28" t="str">
        <x:v>1.9</x:v>
      </x:c>
      <x:c r="I8" s="28" t="str">
        <x:v>Claim guidance</x:v>
      </x:c>
      <x:c r="J8" s="28" t="str">
        <x:v>Nicht kommunizieren: 'Ersetzt jedes WDVS.' Bevorzugt: ergänzt klassische Dämmkonzepte in anspruchsvollen Detailbereichen.</x:v>
      </x:c>
      <x:c r="K8" s="28" t="str">
        <x:v>Ergänzt klassische Dämmkonzepte in anspruchsvollen Detailbereichen.</x:v>
      </x:c>
      <x:c r="L8" s="28" t="str">
        <x:v>Die Systemwirkung ist objekt- und aufbauabhängig und ersetzt nicht pauschal klassische Dämmmaßnahmen.</x:v>
      </x:c>
      <x:c r="M8" s="28" t="str">
        <x:v>Ergänzt klassische Dämmkonzepte in anspruchsvollen Detailbereichen.</x:v>
      </x:c>
      <x:c r="N8" s="28" t="str">
        <x:v>B</x:v>
      </x:c>
      <x:c r="O8" s="28" t="str">
        <x:v>Claim boundary</x:v>
      </x:c>
      <x:c r="P8" s="28" t="str">
        <x:v>PURE THERMO</x:v>
      </x:c>
      <x:c r="Q8" s="28" t="str">
        <x:v>Keine Generalisierung auf alle Gebäude-/Dämmfälle.</x:v>
      </x:c>
      <x:c r="R8" s="28" t="str">
        <x:v>High</x:v>
      </x:c>
      <x:c r="S8" s="28" t="str">
        <x:v>Architects; planners; energy consultants</x:v>
      </x:c>
      <x:c r="T8" s="28" t="str">
        <x:v>/pure-thermo</x:v>
      </x:c>
      <x:c r="U8" s="28" t="str">
        <x:v>LIMITATIONS</x:v>
      </x:c>
      <x:c r="V8" s="28" t="str">
        <x:v>Claim boundary</x:v>
      </x:c>
      <x:c r="W8" s="28" t="str">
        <x:v>CRITICAL</x:v>
      </x:c>
      <x:c r="X8" s="28" t="str">
        <x:v>PUBLIC</x:v>
      </x:c>
      <x:c r="Y8" s="28" t="str">
        <x:v>IN REVIEW</x:v>
      </x:c>
      <x:c r="Z8" s="28" t="str">
        <x:v>IN REVIEW</x:v>
      </x:c>
      <x:c r="AA8" s="28" t="str">
        <x:v>N/A</x:v>
      </x:c>
      <x:c r="AB8" s="28" t="str">
        <x:v>NO</x:v>
      </x:c>
      <x:c r="AC8" s="28" t="str"/>
      <x:c r="AD8" s="28" t="str"/>
      <x:c r="AE8" s="28" t="str">
        <x:v>NO</x:v>
      </x:c>
      <x:c r="AF8" s="28" t="str"/>
      <x:c r="AG8" s="28" t="str">
        <x:v>IN REVIEW</x:v>
      </x:c>
      <x:c r="AH8" s="28" t="str"/>
      <x:c r="AI8" s="28" t="str">
        <x:v>System-specific evidence and application definitions</x:v>
      </x:c>
    </x:row>
    <x:row r="9">
      <x:c r="A9" t="str">
        <x:v>WCM-LH-001</x:v>
      </x:c>
      <x:c r="B9" t="str">
        <x:v>PF-LHEAT</x:v>
      </x:c>
      <x:c r="C9"/>
      <x:c r="D9" t="str">
        <x:v>POSITIONING</x:v>
      </x:c>
      <x:c r="E9" t="str">
        <x:v>Product positioning</x:v>
      </x:c>
      <x:c r="F9" t="str">
        <x:v>SRC-010</x:v>
      </x:c>
      <x:c r="G9" t="str">
        <x:v>20260805_TII_PureLiquidHeat_MasterDeck_2026_DE_mit_Logo.pdf</x:v>
      </x:c>
      <x:c r="H9" t="str">
        <x:v>05.08.2026</x:v>
      </x:c>
      <x:c r="I9" t="str">
        <x:v>pp. 2, 10</x:v>
      </x:c>
      <x:c r="J9" t="str">
        <x:v>PureLiquid Heat shifts electric heat away from visible heating devices toward integrated, flat heating systems; positioning states it is not merely a heating paint.</x:v>
      </x:c>
      <x:c r="K9" t="str">
        <x:v>Elektrische Funktionsschicht für integrierte Wärmesysteme.</x:v>
      </x:c>
      <x:c r="L9" t="str">
        <x:v>PURE LIQUID HEAT ist eine elektrisch aktivierbare funktionale Heizschicht, die in definierte Bauteile, Paneele und Produkte integriert wird.</x:v>
      </x:c>
      <x:c r="M9" t="str">
        <x:v>An electric functional layer for integrated heating systems.</x:v>
      </x:c>
      <x:c r="N9" t="str">
        <x:v>B</x:v>
      </x:c>
      <x:c r="O9" t="str">
        <x:v>Internal product positioning</x:v>
      </x:c>
      <x:c r="P9" t="str">
        <x:v>PURE LIQUID HEAT</x:v>
      </x:c>
      <x:c r="Q9" t="str">
        <x:v>Keine Aussage über Zulassung, Serienreife oder universelle Eignung.</x:v>
      </x:c>
      <x:c r="R9" t="str">
        <x:v>Medium</x:v>
      </x:c>
      <x:c r="S9" t="str">
        <x:v>Customers; architects; OEM; partners</x:v>
      </x:c>
      <x:c r="T9" t="str">
        <x:v>/pure-liquid-heat</x:v>
      </x:c>
      <x:c r="U9" t="str">
        <x:v>HERO / WHAT IS PURE LIQUID HEAT?</x:v>
      </x:c>
      <x:c r="V9" t="str">
        <x:v>Core positioning</x:v>
      </x:c>
      <x:c r="W9" t="str">
        <x:v>CRITICAL</x:v>
      </x:c>
      <x:c r="X9" t="str">
        <x:v>PUBLIC</x:v>
      </x:c>
      <x:c r="Y9" t="str">
        <x:v>WITH QUALIFICATION</x:v>
      </x:c>
      <x:c r="Z9" t="str">
        <x:v>IN REVIEW</x:v>
      </x:c>
      <x:c r="AA9" t="str">
        <x:v>IN REVIEW</x:v>
      </x:c>
      <x:c r="AB9" t="str">
        <x:v>YES</x:v>
      </x:c>
      <x:c r="AC9" t="str">
        <x:v>VIS-LH-001</x:v>
      </x:c>
      <x:c r="AD9" t="str">
        <x:v>YES</x:v>
      </x:c>
      <x:c r="AE9" t="str">
        <x:v>NO</x:v>
      </x:c>
      <x:c r="AF9"/>
      <x:c r="AG9" t="str">
        <x:v>IN REVIEW</x:v>
      </x:c>
      <x:c r="AH9" t="str">
        <x:v>Final English brand wording</x:v>
      </x:c>
      <x:c r="AI9" t="str">
        <x:v>Final technical wording approval</x:v>
      </x:c>
    </x:row>
    <x:row r="10">
      <x:c r="A10" t="str">
        <x:v>WCM-LH-002</x:v>
      </x:c>
      <x:c r="B10" t="str">
        <x:v>PF-LHEAT</x:v>
      </x:c>
      <x:c r="C10"/>
      <x:c r="D10" t="str">
        <x:v>TECHNOLOGY PRINCIPLE</x:v>
      </x:c>
      <x:c r="E10" t="str">
        <x:v>Electrical resistance heating principle</x:v>
      </x:c>
      <x:c r="F10" t="str">
        <x:v>SRC-031</x:v>
      </x:c>
      <x:c r="G10" t="str">
        <x:v>Frage_Antwort_Bericht_Pure_Liquid_Heat.docx</x:v>
      </x:c>
      <x:c r="H10" t="str">
        <x:v>03.07.2026</x:v>
      </x:c>
      <x:c r="I10" t="str">
        <x:v>Kurzfassung; Fragen 5–10</x:v>
      </x:c>
      <x:c r="J10" t="str">
        <x:v>The heating effect is created by a flat electrically conductive coating that converts electrical energy directly into heat; no energy multiplication or efficiency above 100% is claimed.</x:v>
      </x:c>
      <x:c r="K10" t="str">
        <x:v>Elektrische Energie wird direkt in der leitfähigen Beschichtung in Wärme umgesetzt.</x:v>
      </x:c>
      <x:c r="L10" t="str">
        <x:v>Der wesentliche physikalische Effekt ist elektrische Widerstandserwärmung einer flächigen funktionalen Beschichtung mit Wärmeabgabe über die Oberfläche.</x:v>
      </x:c>
      <x:c r="M10" t="str">
        <x:v>Electrical energy is converted directly into heat within a conductive functional coating.</x:v>
      </x:c>
      <x:c r="N10" t="str">
        <x:v>B</x:v>
      </x:c>
      <x:c r="O10" t="str">
        <x:v>Internal technical documentation + physical principle</x:v>
      </x:c>
      <x:c r="P10" t="str">
        <x:v>Defined Liquid Heat system</x:v>
      </x:c>
      <x:c r="Q10" t="str">
        <x:v>Systemleistung hängt von Substrat, Geometrie, Kontaktierung, Regelung und Umgebung ab.</x:v>
      </x:c>
      <x:c r="R10" t="str">
        <x:v>Medium</x:v>
      </x:c>
      <x:c r="S10" t="str">
        <x:v>All technical audiences</x:v>
      </x:c>
      <x:c r="T10" t="str">
        <x:v>/pure-liquid-heat</x:v>
      </x:c>
      <x:c r="U10" t="str">
        <x:v>HOW IT WORKS</x:v>
      </x:c>
      <x:c r="V10" t="str">
        <x:v>Technology principle</x:v>
      </x:c>
      <x:c r="W10" t="str">
        <x:v>CRITICAL</x:v>
      </x:c>
      <x:c r="X10" t="str">
        <x:v>PUBLIC</x:v>
      </x:c>
      <x:c r="Y10" t="str">
        <x:v>WITH QUALIFICATION</x:v>
      </x:c>
      <x:c r="Z10" t="str">
        <x:v>IN REVIEW</x:v>
      </x:c>
      <x:c r="AA10" t="str">
        <x:v>IN REVIEW</x:v>
      </x:c>
      <x:c r="AB10" t="str">
        <x:v>YES</x:v>
      </x:c>
      <x:c r="AC10" t="str">
        <x:v>VIS-LH-003</x:v>
      </x:c>
      <x:c r="AD10" t="str">
        <x:v>YES</x:v>
      </x:c>
      <x:c r="AE10" t="str">
        <x:v>YES</x:v>
      </x:c>
      <x:c r="AF10"/>
      <x:c r="AG10" t="str">
        <x:v>IN REVIEW</x:v>
      </x:c>
      <x:c r="AH10"/>
      <x:c r="AI10" t="str">
        <x:v>Independent electrical/thermal system testing</x:v>
      </x:c>
    </x:row>
    <x:row r="11">
      <x:c r="A11" t="str">
        <x:v>WCM-LH-003</x:v>
      </x:c>
      <x:c r="B11" t="str">
        <x:v>PF-LHEAT</x:v>
      </x:c>
      <x:c r="C11"/>
      <x:c r="D11" t="str">
        <x:v>SYSTEM BUILD-UP</x:v>
      </x:c>
      <x:c r="E11" t="str">
        <x:v>Corrected standard build-up</x:v>
      </x:c>
      <x:c r="F11" t="str">
        <x:v>SRC-032</x:v>
      </x:c>
      <x:c r="G11" t="str">
        <x:v>Liquid_Heat_Anwendungsuebersicht_korrigiert(1).docx</x:v>
      </x:c>
      <x:c r="H11" t="str">
        <x:v>Revidierte Fassung</x:v>
      </x:c>
      <x:c r="I11" t="str">
        <x:v>2.1 Korrigierter Standardaufbau</x:v>
      </x:c>
      <x:c r="J11" t="str">
        <x:v>Current corrected definition: direct substrate exclusively GFB, GFK or Vermiculite; Liquid Heat applied directly without primer; contact/sensor/thermal fuse required; protective layer only for moisture, outdoor, cleaning or special mechanical load.</x:v>
      </x:c>
      <x:c r="K11" t="str">
        <x:v>Verbindlicher aktueller Standardaufbau: GFB/GFK/Vermiculite → Liquid-Heat-Beschichtung → Kontaktierung/Sensorik/Thermosicherung → optionale Schutzschicht nach Beanspruchung.</x:v>
      </x:c>
      <x:c r="L11" t="str">
        <x:v>Der aktuelle interne Standardaufbau verwendet ausschließlich GFB, GFK oder Vermiculite als direkten Träger. Die Heizschicht wird ohne Grundierung appliziert. Schutzschichten sind anwendungsabhängig optional.</x:v>
      </x:c>
      <x:c r="M11" t="str">
        <x:v>Current system definition: GFB, GFK or Vermiculite substrate, direct Liquid Heat layer, electrical contacting and temperature safety; protective layer only where exposure requires it.</x:v>
      </x:c>
      <x:c r="N11" t="str">
        <x:v>B</x:v>
      </x:c>
      <x:c r="O11" t="str">
        <x:v>Current corrected internal system definition</x:v>
      </x:c>
      <x:c r="P11" t="str">
        <x:v>Current standard build-up</x:v>
      </x:c>
      <x:c r="Q11" t="str">
        <x:v>Konflikt mit älteren Unterlagen, die Fermacell, Beton, Keramik oder sonstige OEM-Substrate nennen.</x:v>
      </x:c>
      <x:c r="R11" t="str">
        <x:v>High</x:v>
      </x:c>
      <x:c r="S11" t="str">
        <x:v>Technical partners; OEM; planners</x:v>
      </x:c>
      <x:c r="T11" t="str">
        <x:v>/pure-liquid-heat</x:v>
      </x:c>
      <x:c r="U11" t="str">
        <x:v>SYSTEM BUILD-UP</x:v>
      </x:c>
      <x:c r="V11" t="str">
        <x:v>System definition</x:v>
      </x:c>
      <x:c r="W11" t="str">
        <x:v>CRITICAL</x:v>
      </x:c>
      <x:c r="X11" t="str">
        <x:v>PUBLIC</x:v>
      </x:c>
      <x:c r="Y11" t="str">
        <x:v>WITH QUALIFICATION</x:v>
      </x:c>
      <x:c r="Z11" t="str">
        <x:v>IN REVIEW</x:v>
      </x:c>
      <x:c r="AA11" t="str">
        <x:v>IN REVIEW</x:v>
      </x:c>
      <x:c r="AB11" t="str">
        <x:v>YES</x:v>
      </x:c>
      <x:c r="AC11" t="str">
        <x:v>VIS-LH-002</x:v>
      </x:c>
      <x:c r="AD11" t="str">
        <x:v>YES</x:v>
      </x:c>
      <x:c r="AE11" t="str">
        <x:v>YES</x:v>
      </x:c>
      <x:c r="AF11" t="str">
        <x:v>CNF-LH-001</x:v>
      </x:c>
      <x:c r="AG11" t="str">
        <x:v>IN REVIEW</x:v>
      </x:c>
      <x:c r="AH11" t="str">
        <x:v>Formal material/substrate release list still required</x:v>
      </x:c>
      <x:c r="AI11" t="str">
        <x:v>Formal substrate compatibility matrix</x:v>
      </x:c>
    </x:row>
    <x:row r="12">
      <x:c r="A12" t="str">
        <x:v>WCM-LH-004</x:v>
      </x:c>
      <x:c r="B12" t="str">
        <x:v>PF-LHEAT</x:v>
      </x:c>
      <x:c r="C12"/>
      <x:c r="D12" t="str">
        <x:v>PRODUCT BENEFIT</x:v>
      </x:c>
      <x:c r="E12" t="str">
        <x:v>Integration and thermal response</x:v>
      </x:c>
      <x:c r="F12" t="str">
        <x:v>SRC-032</x:v>
      </x:c>
      <x:c r="G12" t="str">
        <x:v>Liquid_Heat_Anwendungsuebersicht_korrigiert(1).docx</x:v>
      </x:c>
      <x:c r="H12" t="str">
        <x:v>Revidierte Fassung</x:v>
      </x:c>
      <x:c r="I12" t="str">
        <x:v>2.2 Zentrale Vorteile</x:v>
      </x:c>
      <x:c r="J12" t="str">
        <x:v>Flat heat instead of point hot spots; low build-up height; integration in panels, housings and furniture; design surfaces can carry function; scalable from small zones to modules.</x:v>
      </x:c>
      <x:c r="K12" t="str">
        <x:v>Dünne, flächige Wärmefunktion mit hoher Integrations- und Designfreiheit.</x:v>
      </x:c>
      <x:c r="L12" t="str">
        <x:v>Der dokumentierte Systemansatz kombiniert geringe Aufbauhöhe, flächige Wärmeabgabe, modulare Skalierung und Integration in funktionale oder gestaltete Bauteile.</x:v>
      </x:c>
      <x:c r="M12" t="str">
        <x:v>Thin, surface-based heating with flexible integration into panels, products and design objects.</x:v>
      </x:c>
      <x:c r="N12" t="str">
        <x:v>B</x:v>
      </x:c>
      <x:c r="O12" t="str">
        <x:v>Internal product/application documentation</x:v>
      </x:c>
      <x:c r="P12" t="str">
        <x:v>Defined concept and prototype applications</x:v>
      </x:c>
      <x:c r="Q12" t="str">
        <x:v>Keine pauschale Aussage zu Energieeinsparung oder gleichmäßiger Temperatur ohne Messung.</x:v>
      </x:c>
      <x:c r="R12" t="str">
        <x:v>Low</x:v>
      </x:c>
      <x:c r="S12" t="str">
        <x:v>Customers; architects; OEM</x:v>
      </x:c>
      <x:c r="T12" t="str">
        <x:v>/pure-liquid-heat</x:v>
      </x:c>
      <x:c r="U12" t="str">
        <x:v>WHY LIQUID HEAT?</x:v>
      </x:c>
      <x:c r="V12" t="str">
        <x:v>Benefit summary</x:v>
      </x:c>
      <x:c r="W12" t="str">
        <x:v>HIGH</x:v>
      </x:c>
      <x:c r="X12" t="str">
        <x:v>PUBLIC</x:v>
      </x:c>
      <x:c r="Y12" t="str">
        <x:v>WITH QUALIFICATION</x:v>
      </x:c>
      <x:c r="Z12" t="str">
        <x:v>IN REVIEW</x:v>
      </x:c>
      <x:c r="AA12" t="str">
        <x:v>N/A</x:v>
      </x:c>
      <x:c r="AB12" t="str">
        <x:v>YES</x:v>
      </x:c>
      <x:c r="AC12" t="str">
        <x:v>VIS-LH-008</x:v>
      </x:c>
      <x:c r="AD12" t="str">
        <x:v>YES</x:v>
      </x:c>
      <x:c r="AE12" t="str">
        <x:v>YES</x:v>
      </x:c>
      <x:c r="AF12"/>
      <x:c r="AG12" t="str">
        <x:v>IN REVIEW</x:v>
      </x:c>
      <x:c r="AH12"/>
      <x:c r="AI12" t="str">
        <x:v>Application-specific measurements</x:v>
      </x:c>
    </x:row>
    <x:row r="13">
      <x:c r="A13" t="str">
        <x:v>WCM-LH-005</x:v>
      </x:c>
      <x:c r="B13" t="str">
        <x:v>PF-LHEAT</x:v>
      </x:c>
      <x:c r="C13"/>
      <x:c r="D13" t="str">
        <x:v>LIMITATION</x:v>
      </x:c>
      <x:c r="E13" t="str">
        <x:v>Energy efficiency boundary</x:v>
      </x:c>
      <x:c r="F13" t="str">
        <x:v>SRC-031</x:v>
      </x:c>
      <x:c r="G13" t="str">
        <x:v>Frage_Antwort_Bericht_Pure_Liquid_Heat.docx</x:v>
      </x:c>
      <x:c r="H13" t="str">
        <x:v>03.07.2026</x:v>
      </x:c>
      <x:c r="I13" t="str">
        <x:v>Kurzfassung; Energieeffizienz</x:v>
      </x:c>
      <x:c r="J13" t="str">
        <x:v>It is not energy multiplication and not efficiency above 100%; advantages are attributed to low thermal mass, rapid response, direct area heating, radiation share, controllability and zoning. Reliable savings require object-specific comparison measurements.</x:v>
      </x:c>
      <x:c r="K13" t="str">
        <x:v>Der Nutzen liegt im Systemverhalten – nicht in einer Energievermehrung.</x:v>
      </x:c>
      <x:c r="L13" t="str">
        <x:v>Wie andere elektrische Widerstandsheizungen wandelt das System elektrische Energie in Wärme um. Potenziale entstehen durch geringe thermische Masse, schnelle Reaktion, Flächenwärme und Zonenregelung; Einsparwerte sind objektspezifisch zu messen.</x:v>
      </x:c>
      <x:c r="M13" t="str">
        <x:v>The advantage is system behaviour and targeted heat delivery — not energy multiplication.</x:v>
      </x:c>
      <x:c r="N13" t="str">
        <x:v>B</x:v>
      </x:c>
      <x:c r="O13" t="str">
        <x:v>Technical customer draft / claim boundary</x:v>
      </x:c>
      <x:c r="P13" t="str">
        <x:v>All energy-efficiency communication</x:v>
      </x:c>
      <x:c r="Q13" t="str">
        <x:v>Keine Prozent-Einsparungen und keine pauschale Überlegenheit gegenüber Wärmepumpe oder Zentralheizung.</x:v>
      </x:c>
      <x:c r="R13" t="str">
        <x:v>High</x:v>
      </x:c>
      <x:c r="S13" t="str">
        <x:v>Customers; investors; energy consultants</x:v>
      </x:c>
      <x:c r="T13" t="str">
        <x:v>/pure-liquid-heat</x:v>
      </x:c>
      <x:c r="U13" t="str">
        <x:v>CAPABILITIES &amp; LIMITS</x:v>
      </x:c>
      <x:c r="V13" t="str">
        <x:v>Claim boundary</x:v>
      </x:c>
      <x:c r="W13" t="str">
        <x:v>CRITICAL</x:v>
      </x:c>
      <x:c r="X13" t="str">
        <x:v>PUBLIC</x:v>
      </x:c>
      <x:c r="Y13" t="str">
        <x:v>YES</x:v>
      </x:c>
      <x:c r="Z13" t="str">
        <x:v>IN REVIEW</x:v>
      </x:c>
      <x:c r="AA13" t="str">
        <x:v>IN REVIEW</x:v>
      </x:c>
      <x:c r="AB13" t="str">
        <x:v>NO</x:v>
      </x:c>
      <x:c r="AC13"/>
      <x:c r="AD13"/>
      <x:c r="AE13" t="str">
        <x:v>NO</x:v>
      </x:c>
      <x:c r="AF13"/>
      <x:c r="AG13" t="str">
        <x:v>IN REVIEW</x:v>
      </x:c>
      <x:c r="AH13"/>
      <x:c r="AI13" t="str">
        <x:v>Documented comparative monitoring</x:v>
      </x:c>
    </x:row>
    <x:row r="14">
      <x:c r="A14" t="str">
        <x:v>WCM-LH-006</x:v>
      </x:c>
      <x:c r="B14" t="str">
        <x:v>PF-LHEAT</x:v>
      </x:c>
      <x:c r="C14"/>
      <x:c r="D14" t="str">
        <x:v>REFERENCE</x:v>
      </x:c>
      <x:c r="E14" t="str">
        <x:v>Portugal winter 24/7 internal reference</x:v>
      </x:c>
      <x:c r="F14" t="str">
        <x:v>SRC-031</x:v>
      </x:c>
      <x:c r="G14" t="str">
        <x:v>Frage_Antwort_Bericht_Pure_Liquid_Heat.docx</x:v>
      </x:c>
      <x:c r="H14" t="str">
        <x:v>03.07.2026</x:v>
      </x:c>
      <x:c r="I14" t="str">
        <x:v>Kurzfassung; Fragen 1–3; 15; Fazit</x:v>
      </x:c>
      <x:c r="J14" t="str">
        <x:v>A GFB panel was used during a winter season in Portugal in 24/7 operation at approx. 90 °C surface temperature; no recognizable change in temperature or electrical power consumption was observed. It is explicitly not an independent long-term report.</x:v>
      </x:c>
      <x:c r="K14" t="str">
        <x:v>Interne Praxisreferenz: 24/7-Winterbetrieb eines GFB-Paneels in Portugal bei ca. 90 °C mit stabil beobachtetem Betriebsverhalten.</x:v>
      </x:c>
      <x:c r="L14" t="str">
        <x:v>Der Portugal-Einsatz ist als interne Praxis- und Langzeitbetriebserfahrung einzuordnen, nicht als unabhängiger Dauerhaltbarkeitsnachweis.</x:v>
      </x:c>
      <x:c r="M14" t="str">
        <x:v>Internal field reference: a GFB panel operated continuously through a winter season in Portugal at approximately 90 °C with stable observed temperature and power draw.</x:v>
      </x:c>
      <x:c r="N14" t="str">
        <x:v>B</x:v>
      </x:c>
      <x:c r="O14" t="str">
        <x:v>Internal field experience</x:v>
      </x:c>
      <x:c r="P14" t="str">
        <x:v>One GFB panel / one winter season</x:v>
      </x:c>
      <x:c r="Q14" t="str">
        <x:v>Keine externe Prüfung, keine vollständigen Messprotokolle und kein mehrjähriger Nachweis.</x:v>
      </x:c>
      <x:c r="R14" t="str">
        <x:v>Medium</x:v>
      </x:c>
      <x:c r="S14" t="str">
        <x:v>Technical partners; investors</x:v>
      </x:c>
      <x:c r="T14" t="str">
        <x:v>/pure-liquid-heat</x:v>
      </x:c>
      <x:c r="U14" t="str">
        <x:v>EVIDENCE</x:v>
      </x:c>
      <x:c r="V14" t="str">
        <x:v>Evidence example</x:v>
      </x:c>
      <x:c r="W14" t="str">
        <x:v>HIGH</x:v>
      </x:c>
      <x:c r="X14" t="str">
        <x:v>PUBLIC</x:v>
      </x:c>
      <x:c r="Y14" t="str">
        <x:v>WITH QUALIFICATION</x:v>
      </x:c>
      <x:c r="Z14" t="str">
        <x:v>IN REVIEW</x:v>
      </x:c>
      <x:c r="AA14" t="str">
        <x:v>N/A</x:v>
      </x:c>
      <x:c r="AB14" t="str">
        <x:v>YES</x:v>
      </x:c>
      <x:c r="AC14" t="str">
        <x:v>VIS-LH-007</x:v>
      </x:c>
      <x:c r="AD14" t="str">
        <x:v>NO</x:v>
      </x:c>
      <x:c r="AE14" t="str">
        <x:v>YES</x:v>
      </x:c>
      <x:c r="AF14"/>
      <x:c r="AG14" t="str">
        <x:v>IN REVIEW</x:v>
      </x:c>
      <x:c r="AH14" t="str">
        <x:v>Original logs, photos and metering records needed</x:v>
      </x:c>
      <x:c r="AI14" t="str">
        <x:v>Formal Portugal reference report</x:v>
      </x:c>
    </x:row>
    <x:row r="15">
      <x:c r="A15" t="str">
        <x:v>WCM-LH-007</x:v>
      </x:c>
      <x:c r="B15" t="str">
        <x:v>PF-LHEAT</x:v>
      </x:c>
      <x:c r="C15" t="str">
        <x:v>SYS-LH-OUT</x:v>
      </x:c>
      <x:c r="D15" t="str">
        <x:v>APPLICATION</x:v>
      </x:c>
      <x:c r="E15" t="str">
        <x:v>Outdoor &amp; Hospitality</x:v>
      </x:c>
      <x:c r="F15" t="str">
        <x:v>SRC-010</x:v>
      </x:c>
      <x:c r="G15" t="str">
        <x:v>20260805_TII_PureLiquidHeat_MasterDeck_2026_DE_mit_Logo.pdf</x:v>
      </x:c>
      <x:c r="H15" t="str">
        <x:v>05.08.2026</x:v>
      </x:c>
      <x:c r="I15" t="str">
        <x:v>pp. 11–12</x:v>
      </x:c>
      <x:c r="J15" t="str">
        <x:v>Outdoor and hospitality applications include pyramid/Hot-Cube systems, heated lounge and seating modules and brand-integrated heat objects.</x:v>
      </x:c>
      <x:c r="K15" t="str">
        <x:v>Outdoor &amp; Hospitality ist ein priorisiertes Anwendungsfeld für integrierte Zonenwärme.</x:v>
      </x:c>
      <x:c r="L15" t="str">
        <x:v>Priorisierte Konzepte verbinden lokale Flächenwärme mit Designintegration in Terrassen-, Hotel-, Gastronomie- und Eventanwendungen.</x:v>
      </x:c>
      <x:c r="M15" t="str">
        <x:v>Integrated zone heating for terraces, hospitality and branded outdoor environments.</x:v>
      </x:c>
      <x:c r="N15" t="str">
        <x:v>D</x:v>
      </x:c>
      <x:c r="O15" t="str">
        <x:v>Application concept / prototypes</x:v>
      </x:c>
      <x:c r="P15" t="str">
        <x:v>Outdoor hospitality applications</x:v>
      </x:c>
      <x:c r="Q15" t="str">
        <x:v>IP, Feuchte, Temperaturbegrenzung und Endproduktprüfung sind je Aufbau offen.</x:v>
      </x:c>
      <x:c r="R15" t="str">
        <x:v>High</x:v>
      </x:c>
      <x:c r="S15" t="str">
        <x:v>Hospitality; hotels; brands; OEM</x:v>
      </x:c>
      <x:c r="T15" t="str">
        <x:v>/pure-liquid-heat</x:v>
      </x:c>
      <x:c r="U15" t="str">
        <x:v>APPLICATIONS</x:v>
      </x:c>
      <x:c r="V15" t="str">
        <x:v>Application world</x:v>
      </x:c>
      <x:c r="W15" t="str">
        <x:v>HIGH</x:v>
      </x:c>
      <x:c r="X15" t="str">
        <x:v>PUBLIC</x:v>
      </x:c>
      <x:c r="Y15" t="str">
        <x:v>WITH QUALIFICATION</x:v>
      </x:c>
      <x:c r="Z15" t="str">
        <x:v>IN REVIEW</x:v>
      </x:c>
      <x:c r="AA15" t="str">
        <x:v>IN REVIEW</x:v>
      </x:c>
      <x:c r="AB15" t="str">
        <x:v>YES</x:v>
      </x:c>
      <x:c r="AC15" t="str">
        <x:v>VIS-LH-001</x:v>
      </x:c>
      <x:c r="AD15" t="str">
        <x:v>YES</x:v>
      </x:c>
      <x:c r="AE15" t="str">
        <x:v>NO</x:v>
      </x:c>
      <x:c r="AF15"/>
      <x:c r="AG15" t="str">
        <x:v>IN REVIEW</x:v>
      </x:c>
      <x:c r="AH15"/>
      <x:c r="AI15" t="str">
        <x:v>Validated Outdoor Hospitality demonstrator</x:v>
      </x:c>
    </x:row>
    <x:row r="16">
      <x:c r="A16" t="str">
        <x:v>WCM-LH-008</x:v>
      </x:c>
      <x:c r="B16" t="str">
        <x:v>PF-LHEAT</x:v>
      </x:c>
      <x:c r="C16" t="str">
        <x:v>SYS-LH-OUT</x:v>
      </x:c>
      <x:c r="D16" t="str">
        <x:v>USE CASE</x:v>
      </x:c>
      <x:c r="E16" t="str">
        <x:v>Heated seating / benches</x:v>
      </x:c>
      <x:c r="F16" t="str">
        <x:v>SRC-001</x:v>
      </x:c>
      <x:c r="G16" t="str">
        <x:v>20260606_Vertriebsversion_Heizbare_Sitzbaenke_Liquid_Heat_TII.pdf</x:v>
      </x:c>
      <x:c r="H16" t="str">
        <x:v>06.06.2026</x:v>
      </x:c>
      <x:c r="I16" t="str">
        <x:v>pp. 1–7</x:v>
      </x:c>
      <x:c r="J16" t="str">
        <x:v>Heated benches are developed as integrated comfort products for hospitality, public seating and winter/outdoor use. The document contains product renders and a pilot concept; it recommends a GFB/wood-slat prototype.</x:v>
      </x:c>
      <x:c r="K16" t="str">
        <x:v>Beheizte Sitzmodule zeigen Liquid Heat als unsichtbar integrierbare Komfortwärme.</x:v>
      </x:c>
      <x:c r="L16" t="str">
        <x:v>Die Sitzbank ist ein Entwicklungs- und Vertriebsprototyp, bei dem die Heizfunktion unter der Sitzfläche integriert und mit Sensorik/Thermosicherung geregelt werden soll.</x:v>
      </x:c>
      <x:c r="M16" t="str">
        <x:v>Heated seating demonstrates how the heating function can disappear into the product rather than appearing as a separate heater.</x:v>
      </x:c>
      <x:c r="N16" t="str">
        <x:v>D</x:v>
      </x:c>
      <x:c r="O16" t="str">
        <x:v>Product concept</x:v>
      </x:c>
      <x:c r="P16" t="str">
        <x:v>Heated bench concepts</x:v>
      </x:c>
      <x:c r="Q16" t="str">
        <x:v>Renderings und typische Leistungen sind Konzeptwerte; kein freigegebenes Serienprodukt.</x:v>
      </x:c>
      <x:c r="R16" t="str">
        <x:v>Medium</x:v>
      </x:c>
      <x:c r="S16" t="str">
        <x:v>Hospitality; municipalities; brands</x:v>
      </x:c>
      <x:c r="T16" t="str">
        <x:v>/pure-liquid-heat</x:v>
      </x:c>
      <x:c r="U16" t="str">
        <x:v>APPLICATIONS / HEATED SEATING</x:v>
      </x:c>
      <x:c r="V16" t="str">
        <x:v>Use-case proof of integration</x:v>
      </x:c>
      <x:c r="W16" t="str">
        <x:v>MEDIUM</x:v>
      </x:c>
      <x:c r="X16" t="str">
        <x:v>PUBLIC</x:v>
      </x:c>
      <x:c r="Y16" t="str">
        <x:v>WITH QUALIFICATION</x:v>
      </x:c>
      <x:c r="Z16" t="str">
        <x:v>IN REVIEW</x:v>
      </x:c>
      <x:c r="AA16" t="str">
        <x:v>IN REVIEW</x:v>
      </x:c>
      <x:c r="AB16" t="str">
        <x:v>YES</x:v>
      </x:c>
      <x:c r="AC16" t="str">
        <x:v>VIS-LH-004</x:v>
      </x:c>
      <x:c r="AD16" t="str">
        <x:v>YES</x:v>
      </x:c>
      <x:c r="AE16" t="str">
        <x:v>NO</x:v>
      </x:c>
      <x:c r="AF16"/>
      <x:c r="AG16" t="str">
        <x:v>IN REVIEW</x:v>
      </x:c>
      <x:c r="AH16" t="str">
        <x:v>Image rights and prototype status must be labelled</x:v>
      </x:c>
      <x:c r="AI16" t="str">
        <x:v>Physical pilot + outdoor test</x:v>
      </x:c>
    </x:row>
    <x:row r="17">
      <x:c r="A17" t="str">
        <x:v>WCM-LH-009</x:v>
      </x:c>
      <x:c r="B17" t="str">
        <x:v>PF-LHEAT</x:v>
      </x:c>
      <x:c r="C17" t="str">
        <x:v>SYS-LH-INT</x:v>
      </x:c>
      <x:c r="D17" t="str">
        <x:v>APPLICATION</x:v>
      </x:c>
      <x:c r="E17" t="str">
        <x:v>Interior comfort &amp; design panels</x:v>
      </x:c>
      <x:c r="F17" t="str">
        <x:v>SRC-032</x:v>
      </x:c>
      <x:c r="G17" t="str">
        <x:v>Liquid_Heat_Anwendungsuebersicht_korrigiert(1).docx</x:v>
      </x:c>
      <x:c r="H17" t="str">
        <x:v>Revidierte Fassung</x:v>
      </x:c>
      <x:c r="I17" t="str">
        <x:v>Applications; user images</x:v>
      </x:c>
      <x:c r="J17" t="str">
        <x:v>Interior concepts include wall/ceiling panels, furniture modules, branded wall panels and slim standing modules.</x:v>
      </x:c>
      <x:c r="K17" t="str">
        <x:v>Innenräume und Designflächen sind ein Anwendungsfeld für integrierte, flächige Wärme.</x:v>
      </x:c>
      <x:c r="L17" t="str">
        <x:v>Wand-, Paneel- und Möbelmodule können als Träger der Heizfunktion entwickelt werden, sofern Aufbau, Kontaktierung, Regelung und Temperaturgrenzen definiert sind.</x:v>
      </x:c>
      <x:c r="M17" t="str">
        <x:v>Wall, panel and furniture modules can integrate heating as a surface function.</x:v>
      </x:c>
      <x:c r="N17" t="str">
        <x:v>D</x:v>
      </x:c>
      <x:c r="O17" t="str">
        <x:v>Application concept / internal examples</x:v>
      </x:c>
      <x:c r="P17" t="str">
        <x:v>Interior panels and design objects</x:v>
      </x:c>
      <x:c r="Q17" t="str">
        <x:v>Keine pauschale Gebäudeheizungs- oder Verbrauchsaussage.</x:v>
      </x:c>
      <x:c r="R17" t="str">
        <x:v>Medium</x:v>
      </x:c>
      <x:c r="S17" t="str">
        <x:v>Architects; interior designers; OEM</x:v>
      </x:c>
      <x:c r="T17" t="str">
        <x:v>/pure-liquid-heat</x:v>
      </x:c>
      <x:c r="U17" t="str">
        <x:v>APPLICATIONS</x:v>
      </x:c>
      <x:c r="V17" t="str">
        <x:v>Application world</x:v>
      </x:c>
      <x:c r="W17" t="str">
        <x:v>MEDIUM</x:v>
      </x:c>
      <x:c r="X17" t="str">
        <x:v>PUBLIC</x:v>
      </x:c>
      <x:c r="Y17" t="str">
        <x:v>WITH QUALIFICATION</x:v>
      </x:c>
      <x:c r="Z17" t="str">
        <x:v>IN REVIEW</x:v>
      </x:c>
      <x:c r="AA17" t="str">
        <x:v>IN REVIEW</x:v>
      </x:c>
      <x:c r="AB17" t="str">
        <x:v>YES</x:v>
      </x:c>
      <x:c r="AC17" t="str">
        <x:v>VIS-LH-006</x:v>
      </x:c>
      <x:c r="AD17" t="str">
        <x:v>YES</x:v>
      </x:c>
      <x:c r="AE17" t="str">
        <x:v>NO</x:v>
      </x:c>
      <x:c r="AF17"/>
      <x:c r="AG17" t="str">
        <x:v>IN REVIEW</x:v>
      </x:c>
      <x:c r="AH17" t="str">
        <x:v>Original image files and rights needed</x:v>
      </x:c>
      <x:c r="AI17" t="str">
        <x:v>Defined Interior Comfort demonstrator</x:v>
      </x:c>
    </x:row>
    <x:row r="18">
      <x:c r="A18" t="str">
        <x:v>WCM-LH-010</x:v>
      </x:c>
      <x:c r="B18" t="str">
        <x:v>PF-LHEAT</x:v>
      </x:c>
      <x:c r="C18" t="str">
        <x:v>SYS-LH-OEM</x:v>
      </x:c>
      <x:c r="D18" t="str">
        <x:v>APPLICATION</x:v>
      </x:c>
      <x:c r="E18" t="str">
        <x:v>OEM integration</x:v>
      </x:c>
      <x:c r="F18" t="str">
        <x:v>SRC-010</x:v>
      </x:c>
      <x:c r="G18" t="str">
        <x:v>20260805_TII_PureLiquidHeat_MasterDeck_2026_DE_mit_Logo.pdf</x:v>
      </x:c>
      <x:c r="H18" t="str">
        <x:v>05.08.2026</x:v>
      </x:c>
      <x:c r="I18" t="str">
        <x:v>pp. 2–5, 10, 35–36</x:v>
      </x:c>
      <x:c r="J18" t="str">
        <x:v>The strategy positions Liquid Heat as an OEM and licensing platform for integrating active heat into existing products; each end product requires its own system definition and validation.</x:v>
      </x:c>
      <x:c r="K18" t="str">
        <x:v>OEM-Integration: Wärmefunktion wird in Produkt, Paneel oder Bauteil integriert.</x:v>
      </x:c>
      <x:c r="L18" t="str">
        <x:v>Der OEM-Ansatz setzt einen definierten Gesamtaufbau mit Substrat, Heizschicht, Kontaktierung, Steuerung, Temperaturbegrenzung und Schutzkonzept voraus.</x:v>
      </x:c>
      <x:c r="M18" t="str">
        <x:v>For OEM partners, heating can become an integrated product function rather than a separate device.</x:v>
      </x:c>
      <x:c r="N18" t="str">
        <x:v>B</x:v>
      </x:c>
      <x:c r="O18" t="str">
        <x:v>Strategic product positioning</x:v>
      </x:c>
      <x:c r="P18" t="str">
        <x:v>OEM partner integration</x:v>
      </x:c>
      <x:c r="Q18" t="str">
        <x:v>Keine generische Freigabe für beliebige OEM-Substrate oder Endprodukte.</x:v>
      </x:c>
      <x:c r="R18" t="str">
        <x:v>High</x:v>
      </x:c>
      <x:c r="S18" t="str">
        <x:v>OEM; industrial partners; license partners</x:v>
      </x:c>
      <x:c r="T18" t="str">
        <x:v>/pure-liquid-heat</x:v>
      </x:c>
      <x:c r="U18" t="str">
        <x:v>OEM / PARTNERS</x:v>
      </x:c>
      <x:c r="V18" t="str">
        <x:v>Partner proposition</x:v>
      </x:c>
      <x:c r="W18" t="str">
        <x:v>HIGH</x:v>
      </x:c>
      <x:c r="X18" t="str">
        <x:v>PUBLIC</x:v>
      </x:c>
      <x:c r="Y18" t="str">
        <x:v>WITH QUALIFICATION</x:v>
      </x:c>
      <x:c r="Z18" t="str">
        <x:v>IN REVIEW</x:v>
      </x:c>
      <x:c r="AA18" t="str">
        <x:v>IN REVIEW</x:v>
      </x:c>
      <x:c r="AB18" t="str">
        <x:v>YES</x:v>
      </x:c>
      <x:c r="AC18" t="str">
        <x:v>VIS-LH-008</x:v>
      </x:c>
      <x:c r="AD18" t="str">
        <x:v>YES</x:v>
      </x:c>
      <x:c r="AE18" t="str">
        <x:v>YES</x:v>
      </x:c>
      <x:c r="AF18" t="str">
        <x:v>CNF-LH-001</x:v>
      </x:c>
      <x:c r="AG18" t="str">
        <x:v>IN REVIEW</x:v>
      </x:c>
      <x:c r="AH18"/>
      <x:c r="AI18" t="str">
        <x:v>Partner-specific specification and qualification process</x:v>
      </x:c>
    </x:row>
    <x:row r="19">
      <x:c r="A19" t="str">
        <x:v>WCM-LH-011</x:v>
      </x:c>
      <x:c r="B19" t="str">
        <x:v>PF-LHEAT</x:v>
      </x:c>
      <x:c r="C19" t="str">
        <x:v>SYS-LH-OEM</x:v>
      </x:c>
      <x:c r="D19" t="str">
        <x:v>APPLICATION</x:v>
      </x:c>
      <x:c r="E19" t="str">
        <x:v>Frost protection &amp; technical heating</x:v>
      </x:c>
      <x:c r="F19" t="str">
        <x:v>SRC-032</x:v>
      </x:c>
      <x:c r="G19" t="str">
        <x:v>Liquid_Heat_Anwendungsuebersicht_korrigiert(1).docx</x:v>
      </x:c>
      <x:c r="H19" t="str">
        <x:v>Revidierte Fassung</x:v>
      </x:c>
      <x:c r="I19" t="str">
        <x:v>Applications / safety</x:v>
      </x:c>
      <x:c r="J19" t="str">
        <x:v>Concepts include frost protection for boxes, valves, switch cabinets, electronics and sensors, as well as technical temperature holding and drying.</x:v>
      </x:c>
      <x:c r="K19" t="str">
        <x:v>Technische Wärmezonen können für Frostschutz, Kondensationsschutz und Temperaturhaltung entwickelt werden.</x:v>
      </x:c>
      <x:c r="L19" t="str">
        <x:v>Die Technologie wird als Plattform für technische Heizmodule betrachtet; Temperaturbereiche und Leistungsdichten sind je Produktaufbau zu validieren.</x:v>
      </x:c>
      <x:c r="M19" t="str">
        <x:v>Technical heating zones can be developed for frost protection, anti-condensation and temperature maintenance.</x:v>
      </x:c>
      <x:c r="N19" t="str">
        <x:v>D</x:v>
      </x:c>
      <x:c r="O19" t="str">
        <x:v>Application concept</x:v>
      </x:c>
      <x:c r="P19" t="str">
        <x:v>Technical/industrial modules</x:v>
      </x:c>
      <x:c r="Q19" t="str">
        <x:v>Keine unqualifizierten Temperaturbereiche oder Prozessleistungsdaten veröffentlichen.</x:v>
      </x:c>
      <x:c r="R19" t="str">
        <x:v>High</x:v>
      </x:c>
      <x:c r="S19" t="str">
        <x:v>Industry; utilities; OEM</x:v>
      </x:c>
      <x:c r="T19" t="str">
        <x:v>/pure-liquid-heat</x:v>
      </x:c>
      <x:c r="U19" t="str">
        <x:v>APPLICATIONS</x:v>
      </x:c>
      <x:c r="V19" t="str">
        <x:v>Application world</x:v>
      </x:c>
      <x:c r="W19" t="str">
        <x:v>MEDIUM</x:v>
      </x:c>
      <x:c r="X19" t="str">
        <x:v>PUBLIC</x:v>
      </x:c>
      <x:c r="Y19" t="str">
        <x:v>WITH QUALIFICATION</x:v>
      </x:c>
      <x:c r="Z19" t="str">
        <x:v>IN REVIEW</x:v>
      </x:c>
      <x:c r="AA19" t="str">
        <x:v>IN REVIEW</x:v>
      </x:c>
      <x:c r="AB19" t="str">
        <x:v>YES</x:v>
      </x:c>
      <x:c r="AC19" t="str">
        <x:v>VIS-LH-008</x:v>
      </x:c>
      <x:c r="AD19" t="str">
        <x:v>YES</x:v>
      </x:c>
      <x:c r="AE19" t="str">
        <x:v>YES</x:v>
      </x:c>
      <x:c r="AF19"/>
      <x:c r="AG19" t="str">
        <x:v>IN REVIEW</x:v>
      </x:c>
      <x:c r="AH19"/>
      <x:c r="AI19" t="str">
        <x:v>Industrial demonstrator with measured performance</x:v>
      </x:c>
    </x:row>
    <x:row r="20">
      <x:c r="A20" t="str">
        <x:v>WCM-LH-012</x:v>
      </x:c>
      <x:c r="B20" t="str">
        <x:v>PF-LHEAT</x:v>
      </x:c>
      <x:c r="C20"/>
      <x:c r="D20" t="str">
        <x:v>REGULATORY</x:v>
      </x:c>
      <x:c r="E20" t="str">
        <x:v>Safety and market access</x:v>
      </x:c>
      <x:c r="F20" t="str">
        <x:v>SRC-010</x:v>
      </x:c>
      <x:c r="G20" t="str">
        <x:v>20260805_TII_PureLiquidHeat_MasterDeck_2026_DE_mit_Logo.pdf</x:v>
      </x:c>
      <x:c r="H20" t="str">
        <x:v>05.08.2026</x:v>
      </x:c>
      <x:c r="I20" t="str">
        <x:v>pp. 17, 35</x:v>
      </x:c>
      <x:c r="J20" t="str">
        <x:v>Electrical safety, temperature limitation, isolation, IP protection, EMC and fire behaviour must be assessed on the complete heating system; market access differs by application and region.</x:v>
      </x:c>
      <x:c r="K20" t="str">
        <x:v>Marktfähigkeit wird am vollständigen Heizsystem geprüft – nicht an der Beschichtung allein.</x:v>
      </x:c>
      <x:c r="L20" t="str">
        <x:v>Für Endprodukte sind elektrische Sicherheit, EMV, Temperaturbegrenzung, IP-/Feuchteschutz und gegebenenfalls Brand- bzw. Bauproduktanforderungen projektspezifisch zu prüfen.</x:v>
      </x:c>
      <x:c r="M20" t="str">
        <x:v>Market access is assessed at complete-system level: heating layer, contacts, electronics, protection and end use.</x:v>
      </x:c>
      <x:c r="N20" t="str">
        <x:v>B</x:v>
      </x:c>
      <x:c r="O20" t="str">
        <x:v>Regulatory strategy / internal</x:v>
      </x:c>
      <x:c r="P20" t="str">
        <x:v>Application-specific full system</x:v>
      </x:c>
      <x:c r="Q20" t="str">
        <x:v>Keine CE-, IP-, UL- oder sonstige Zulassung als vorhanden darstellen, solange der konkrete Endaufbau nicht geprüft ist.</x:v>
      </x:c>
      <x:c r="R20" t="str">
        <x:v>High</x:v>
      </x:c>
      <x:c r="S20" t="str">
        <x:v>OEM; planners; partners</x:v>
      </x:c>
      <x:c r="T20" t="str">
        <x:v>/pure-liquid-heat</x:v>
      </x:c>
      <x:c r="U20" t="str">
        <x:v>SAFETY &amp; VALIDATION</x:v>
      </x:c>
      <x:c r="V20" t="str">
        <x:v>Regulatory boundary</x:v>
      </x:c>
      <x:c r="W20" t="str">
        <x:v>CRITICAL</x:v>
      </x:c>
      <x:c r="X20" t="str">
        <x:v>PUBLIC</x:v>
      </x:c>
      <x:c r="Y20" t="str">
        <x:v>YES</x:v>
      </x:c>
      <x:c r="Z20" t="str">
        <x:v>IN REVIEW</x:v>
      </x:c>
      <x:c r="AA20" t="str">
        <x:v>IN REVIEW</x:v>
      </x:c>
      <x:c r="AB20" t="str">
        <x:v>YES</x:v>
      </x:c>
      <x:c r="AC20" t="str">
        <x:v>VIS-LH-007</x:v>
      </x:c>
      <x:c r="AD20" t="str">
        <x:v>YES</x:v>
      </x:c>
      <x:c r="AE20" t="str">
        <x:v>YES</x:v>
      </x:c>
      <x:c r="AF20"/>
      <x:c r="AG20" t="str">
        <x:v>IN REVIEW</x:v>
      </x:c>
      <x:c r="AH20" t="str">
        <x:v>Exact regulatory classification per system class</x:v>
      </x:c>
      <x:c r="AI20" t="str">
        <x:v>External compliance program</x:v>
      </x:c>
    </x:row>
    <x:row r="21">
      <x:c r="A21" t="str">
        <x:v>WCM-LH-013</x:v>
      </x:c>
      <x:c r="B21" t="str">
        <x:v>PF-LHEAT</x:v>
      </x:c>
      <x:c r="C21"/>
      <x:c r="D21" t="str">
        <x:v>QUALITY ASSURANCE</x:v>
      </x:c>
      <x:c r="E21" t="str">
        <x:v>System reproducibility</x:v>
      </x:c>
      <x:c r="F21" t="str">
        <x:v>SRC-010</x:v>
      </x:c>
      <x:c r="G21" t="str">
        <x:v>20260805_TII_PureLiquidHeat_MasterDeck_2026_DE_mit_Logo.pdf</x:v>
      </x:c>
      <x:c r="H21" t="str">
        <x:v>05.08.2026</x:v>
      </x:c>
      <x:c r="I21" t="str">
        <x:v>pp. 26–28</x:v>
      </x:c>
      <x:c r="J21" t="str">
        <x:v>Quality logic requires reproducible substrate, coating, contact, resistance/isolation/temperature checks and release documentation; long-term plans include 1,000/5,000/10,000 h testing and reference systems.</x:v>
      </x:c>
      <x:c r="K21" t="str">
        <x:v>Serienfähigkeit setzt reproduzierbaren Aufbau, Messwerte und dokumentierte Freigaben voraus.</x:v>
      </x:c>
      <x:c r="L21" t="str">
        <x:v>QA und Langzeitnachweise sind Teil der Marktreife: definierter Aufbau, elektrische Messungen, Temperaturbild, Dauerlauf, Feuchte/Outdoor, Mechanik und Alterung.</x:v>
      </x:c>
      <x:c r="M21" t="str">
        <x:v>Industrialisation requires reproducible build-up, measured electrical/thermal behaviour and documented release criteria.</x:v>
      </x:c>
      <x:c r="N21" t="str">
        <x:v>D</x:v>
      </x:c>
      <x:c r="O21" t="str">
        <x:v>Validation roadmap</x:v>
      </x:c>
      <x:c r="P21" t="str">
        <x:v>Future series / licensing</x:v>
      </x:c>
      <x:c r="Q21" t="str">
        <x:v>Prüfprogramme sind geplant, nicht bereits abgeschlossen.</x:v>
      </x:c>
      <x:c r="R21" t="str">
        <x:v>Medium</x:v>
      </x:c>
      <x:c r="S21" t="str">
        <x:v>OEM; investors; technical partners</x:v>
      </x:c>
      <x:c r="T21" t="str">
        <x:v>/pure-liquid-heat</x:v>
      </x:c>
      <x:c r="U21" t="str">
        <x:v>EVIDENCE / ROADMAP</x:v>
      </x:c>
      <x:c r="V21" t="str">
        <x:v>Validation roadmap</x:v>
      </x:c>
      <x:c r="W21" t="str">
        <x:v>MEDIUM</x:v>
      </x:c>
      <x:c r="X21" t="str">
        <x:v>TECHNICAL</x:v>
      </x:c>
      <x:c r="Y21" t="str">
        <x:v>NO</x:v>
      </x:c>
      <x:c r="Z21" t="str">
        <x:v>IN REVIEW</x:v>
      </x:c>
      <x:c r="AA21" t="str">
        <x:v>IN REVIEW</x:v>
      </x:c>
      <x:c r="AB21" t="str">
        <x:v>YES</x:v>
      </x:c>
      <x:c r="AC21" t="str">
        <x:v>VIS-LH-007</x:v>
      </x:c>
      <x:c r="AD21" t="str">
        <x:v>YES</x:v>
      </x:c>
      <x:c r="AE21" t="str">
        <x:v>YES</x:v>
      </x:c>
      <x:c r="AF21"/>
      <x:c r="AG21" t="str">
        <x:v>IN REVIEW</x:v>
      </x:c>
      <x:c r="AH21"/>
      <x:c r="AI21" t="str">
        <x:v>Completed long-term and qualification tests</x:v>
      </x:c>
    </x:row>
    <x:row r="22">
      <x:c r="A22" t="str">
        <x:v>WCM-LH-014</x:v>
      </x:c>
      <x:c r="B22" t="str">
        <x:v>PF-LHEAT</x:v>
      </x:c>
      <x:c r="C22"/>
      <x:c r="D22" t="str">
        <x:v>SYSTEM BUILD-UP</x:v>
      </x:c>
      <x:c r="E22" t="str">
        <x:v>Low-voltage architecture</x:v>
      </x:c>
      <x:c r="F22" t="str">
        <x:v>SRC-032</x:v>
      </x:c>
      <x:c r="G22" t="str">
        <x:v>Liquid_Heat_Anwendungsuebersicht_korrigiert(1).docx</x:v>
      </x:c>
      <x:c r="H22" t="str">
        <x:v>Revidierte Fassung</x:v>
      </x:c>
      <x:c r="I22" t="str">
        <x:v>2.2; safety</x:v>
      </x:c>
      <x:c r="J22" t="str">
        <x:v>12 V, 24 V or 30 V DC architectures are described as possible depending on module area and performance; sensors and thermal fuses are required in product-near concepts.</x:v>
      </x:c>
      <x:c r="K22" t="str">
        <x:v>Niedervolt-Architekturen werden anwendungsabhängig ausgelegt.</x:v>
      </x:c>
      <x:c r="L22" t="str">
        <x:v>12/24/30-V-DC-Systeme sind als interne/prototypische Architektur dokumentiert; die konkrete Spannung und Schutzlogik werden für den Endaufbau definiert.</x:v>
      </x:c>
      <x:c r="M22" t="str">
        <x:v>Low-voltage architectures are selected according to the application and module design.</x:v>
      </x:c>
      <x:c r="N22" t="str">
        <x:v>B</x:v>
      </x:c>
      <x:c r="O22" t="str">
        <x:v>Internal technical concept</x:v>
      </x:c>
      <x:c r="P22" t="str">
        <x:v>Prototype/system architectures</x:v>
      </x:c>
      <x:c r="Q22" t="str">
        <x:v>Niedervolt ist nicht gleichbedeutend mit vollständiger Produktsicherheit oder regulatorischer Freigabe.</x:v>
      </x:c>
      <x:c r="R22" t="str">
        <x:v>High</x:v>
      </x:c>
      <x:c r="S22" t="str">
        <x:v>Technical partners; OEM</x:v>
      </x:c>
      <x:c r="T22" t="str">
        <x:v>/pure-liquid-heat</x:v>
      </x:c>
      <x:c r="U22" t="str">
        <x:v>HOW IT WORKS / SAFETY</x:v>
      </x:c>
      <x:c r="V22" t="str">
        <x:v>System architecture</x:v>
      </x:c>
      <x:c r="W22" t="str">
        <x:v>HIGH</x:v>
      </x:c>
      <x:c r="X22" t="str">
        <x:v>PUBLIC</x:v>
      </x:c>
      <x:c r="Y22" t="str">
        <x:v>WITH QUALIFICATION</x:v>
      </x:c>
      <x:c r="Z22" t="str">
        <x:v>IN REVIEW</x:v>
      </x:c>
      <x:c r="AA22" t="str">
        <x:v>IN REVIEW</x:v>
      </x:c>
      <x:c r="AB22" t="str">
        <x:v>NO</x:v>
      </x:c>
      <x:c r="AC22"/>
      <x:c r="AD22"/>
      <x:c r="AE22" t="str">
        <x:v>NO</x:v>
      </x:c>
      <x:c r="AF22"/>
      <x:c r="AG22" t="str">
        <x:v>IN REVIEW</x:v>
      </x:c>
      <x:c r="AH22"/>
      <x:c r="AI22" t="str">
        <x:v>Defined electrical specification per system class</x:v>
      </x:c>
    </x:row>
    <x:row r="23">
      <x:c r="A23" t="str">
        <x:v>WCM-LH-015</x:v>
      </x:c>
      <x:c r="B23" t="str">
        <x:v>PF-LHEAT</x:v>
      </x:c>
      <x:c r="C23" t="str">
        <x:v>SYS-LH-OUT</x:v>
      </x:c>
      <x:c r="D23" t="str">
        <x:v>USE CASE</x:v>
      </x:c>
      <x:c r="E23" t="str">
        <x:v>PureHeat Prism / heated table base</x:v>
      </x:c>
      <x:c r="F23" t="str">
        <x:v>SRC-006</x:v>
      </x:c>
      <x:c r="G23" t="str">
        <x:v>20260729_TII_Pure_Liquid_Heat_Heizfuss_Konzeptbericht_DE-2.pdf</x:v>
      </x:c>
      <x:c r="H23" t="str">
        <x:v>23.07.2026</x:v>
      </x:c>
      <x:c r="I23" t="str">
        <x:v>pp. 1–6</x:v>
      </x:c>
      <x:c r="J23" t="str">
        <x:v>PureHeat Prism is recommended as the first prototype: a four-sided GFB heating column for tables; 30 V, approx. 400 W nominal / 600 W boost and IP44/IP54 are development assumptions/targets.</x:v>
      </x:c>
      <x:c r="K23" t="str">
        <x:v>PureHeat Prism visualisiert die Integration der Heizfunktion in hochwertige Terrassenmöbel.</x:v>
      </x:c>
      <x:c r="L23" t="str">
        <x:v>Das Heizfuß-Konzept ist Vorentwicklung. Abmessungen, Leistung, Oberflächentemperaturen, IP-Ziele und Kosten müssen durch Konstruktion und Prüfung bestätigt werden.</x:v>
      </x:c>
      <x:c r="M23" t="str">
        <x:v>PureHeat Prism is a development concept showing how surface heating could be integrated into premium terrace furniture.</x:v>
      </x:c>
      <x:c r="N23" t="str">
        <x:v>D</x:v>
      </x:c>
      <x:c r="O23" t="str">
        <x:v>Development concept</x:v>
      </x:c>
      <x:c r="P23" t="str">
        <x:v>PureHeat Prism concept only</x:v>
      </x:c>
      <x:c r="Q23" t="str">
        <x:v>Keine Zahlen oder Schutzklassen als Produktspezifikation auf der Website verwenden.</x:v>
      </x:c>
      <x:c r="R23" t="str">
        <x:v>High</x:v>
      </x:c>
      <x:c r="S23" t="str">
        <x:v>Hospitality; furniture OEM; investors</x:v>
      </x:c>
      <x:c r="T23" t="str">
        <x:v>/pure-liquid-heat</x:v>
      </x:c>
      <x:c r="U23" t="str">
        <x:v>APPLICATIONS / CONCEPTS</x:v>
      </x:c>
      <x:c r="V23" t="str">
        <x:v>Development concept</x:v>
      </x:c>
      <x:c r="W23" t="str">
        <x:v>LOW</x:v>
      </x:c>
      <x:c r="X23" t="str">
        <x:v>TECHNICAL</x:v>
      </x:c>
      <x:c r="Y23" t="str">
        <x:v>WITH QUALIFICATION</x:v>
      </x:c>
      <x:c r="Z23" t="str">
        <x:v>IN REVIEW</x:v>
      </x:c>
      <x:c r="AA23" t="str">
        <x:v>IN REVIEW</x:v>
      </x:c>
      <x:c r="AB23" t="str">
        <x:v>YES</x:v>
      </x:c>
      <x:c r="AC23" t="str">
        <x:v>VIS-LH-005</x:v>
      </x:c>
      <x:c r="AD23" t="str">
        <x:v>YES</x:v>
      </x:c>
      <x:c r="AE23" t="str">
        <x:v>NO</x:v>
      </x:c>
      <x:c r="AF23"/>
      <x:c r="AG23" t="str">
        <x:v>IN REVIEW</x:v>
      </x:c>
      <x:c r="AH23" t="str">
        <x:v>If shown publicly, label clearly as concept/design study</x:v>
      </x:c>
      <x:c r="AI23" t="str">
        <x:v>P1 prototype validation</x:v>
      </x:c>
    </x:row>
    <x:row r="24">
      <x:c r="A24" t="str">
        <x:v>WCM-LH-016</x:v>
      </x:c>
      <x:c r="B24" t="str">
        <x:v>PF-LHEAT</x:v>
      </x:c>
      <x:c r="C24"/>
      <x:c r="D24" t="str">
        <x:v>LIMITATION</x:v>
      </x:c>
      <x:c r="E24" t="str">
        <x:v>Performance data are system-specific</x:v>
      </x:c>
      <x:c r="F24" t="str">
        <x:v>SRC-010</x:v>
      </x:c>
      <x:c r="G24" t="str">
        <x:v>20260805_TII_PureLiquidHeat_MasterDeck_2026_DE_mit_Logo.pdf</x:v>
      </x:c>
      <x:c r="H24" t="str">
        <x:v>05.08.2026</x:v>
      </x:c>
      <x:c r="I24" t="str">
        <x:v>p. 9; appendix</x:v>
      </x:c>
      <x:c r="J24" t="str">
        <x:v>Performance data must be externally verified for each defined build-up; surface temperatures, resistance, output and consumption depend on substrate, thickness, geometry, contacting, controls and environment.</x:v>
      </x:c>
      <x:c r="K24" t="str">
        <x:v>Leistungsdaten gelten nur für den definierten Systemaufbau.</x:v>
      </x:c>
      <x:c r="L24" t="str">
        <x:v>Temperatur, Widerstand, Leistung, Aufheizzeit und Verbrauch werden nicht von der Beschichtung allein bestimmt, sondern vom vollständigen System.</x:v>
      </x:c>
      <x:c r="M24" t="str">
        <x:v>Performance values are system-specific and must be validated for the defined build-up.</x:v>
      </x:c>
      <x:c r="N24" t="str">
        <x:v>B</x:v>
      </x:c>
      <x:c r="O24" t="str">
        <x:v>Claim boundary / validation rule</x:v>
      </x:c>
      <x:c r="P24" t="str">
        <x:v>All technical performance claims</x:v>
      </x:c>
      <x:c r="Q24" t="str">
        <x:v>Keine generischen Temperatur-, W/m²-, Verbrauchs- oder Einsparwerte auf Familienebene.</x:v>
      </x:c>
      <x:c r="R24" t="str">
        <x:v>High</x:v>
      </x:c>
      <x:c r="S24" t="str">
        <x:v>All technical audiences</x:v>
      </x:c>
      <x:c r="T24" t="str">
        <x:v>/pure-liquid-heat</x:v>
      </x:c>
      <x:c r="U24" t="str">
        <x:v>CAPABILITIES &amp; LIMITS</x:v>
      </x:c>
      <x:c r="V24" t="str">
        <x:v>Technical limitation</x:v>
      </x:c>
      <x:c r="W24" t="str">
        <x:v>CRITICAL</x:v>
      </x:c>
      <x:c r="X24" t="str">
        <x:v>PUBLIC</x:v>
      </x:c>
      <x:c r="Y24" t="str">
        <x:v>YES</x:v>
      </x:c>
      <x:c r="Z24" t="str">
        <x:v>IN REVIEW</x:v>
      </x:c>
      <x:c r="AA24" t="str">
        <x:v>IN REVIEW</x:v>
      </x:c>
      <x:c r="AB24" t="str">
        <x:v>NO</x:v>
      </x:c>
      <x:c r="AC24"/>
      <x:c r="AD24"/>
      <x:c r="AE24" t="str">
        <x:v>NO</x:v>
      </x:c>
      <x:c r="AF24"/>
      <x:c r="AG24" t="str">
        <x:v>IN REVIEW</x:v>
      </x:c>
      <x:c r="AH24"/>
      <x:c r="AI24" t="str">
        <x:v>Measured data sheets per application system</x:v>
      </x:c>
    </x:row>
    <x:row r="25">
      <x:c r="A25" t="str">
        <x:v>WCM-LH-017</x:v>
      </x:c>
      <x:c r="B25" t="str">
        <x:v>PF-LHEAT</x:v>
      </x:c>
      <x:c r="C25"/>
      <x:c r="D25" t="str">
        <x:v>MARKET</x:v>
      </x:c>
      <x:c r="E25" t="str">
        <x:v>Why now / integration need</x:v>
      </x:c>
      <x:c r="F25" t="str">
        <x:v>SRC-010</x:v>
      </x:c>
      <x:c r="G25" t="str">
        <x:v>20260805_TII_PureLiquidHeat_MasterDeck_2026_DE_mit_Logo.pdf</x:v>
      </x:c>
      <x:c r="H25" t="str">
        <x:v>05.08.2026</x:v>
      </x:c>
      <x:c r="I25" t="str">
        <x:v>pp. 3–5</x:v>
      </x:c>
      <x:c r="J25" t="str">
        <x:v>The deck frames the opportunity around electrification, design integration, hospitality zone heating and OEM differentiation, with conventional devices often visible, bulky or poorly integrated.</x:v>
      </x:c>
      <x:c r="K25" t="str">
        <x:v>Wärme wird zunehmend zur integrierten Produkt- und Oberflächenfunktion.</x:v>
      </x:c>
      <x:c r="L25" t="str">
        <x:v>Die Markthypothese fokussiert Anwendungen, in denen punktuelle, regelbare und designnahe Wärme gefordert ist und klassische Heizgeräte schlecht integrierbar sind.</x:v>
      </x:c>
      <x:c r="M25" t="str">
        <x:v>Heat can become an integrated surface and product function wherever conventional devices are too visible, rigid or difficult to integrate.</x:v>
      </x:c>
      <x:c r="N25" t="str">
        <x:v>B</x:v>
      </x:c>
      <x:c r="O25" t="str">
        <x:v>Strategic market positioning</x:v>
      </x:c>
      <x:c r="P25" t="str">
        <x:v>Target use cases, not market-size claim</x:v>
      </x:c>
      <x:c r="Q25" t="str">
        <x:v>Keine Marktgrößen- oder Effizienzbehauptung daraus ableiten.</x:v>
      </x:c>
      <x:c r="R25" t="str">
        <x:v>Low</x:v>
      </x:c>
      <x:c r="S25" t="str">
        <x:v>All</x:v>
      </x:c>
      <x:c r="T25" t="str">
        <x:v>/pure-liquid-heat</x:v>
      </x:c>
      <x:c r="U25" t="str">
        <x:v>WHY NOW</x:v>
      </x:c>
      <x:c r="V25" t="str">
        <x:v>Problem framing</x:v>
      </x:c>
      <x:c r="W25" t="str">
        <x:v>MEDIUM</x:v>
      </x:c>
      <x:c r="X25" t="str">
        <x:v>PUBLIC</x:v>
      </x:c>
      <x:c r="Y25" t="str">
        <x:v>WITH QUALIFICATION</x:v>
      </x:c>
      <x:c r="Z25" t="str">
        <x:v>IN REVIEW</x:v>
      </x:c>
      <x:c r="AA25" t="str">
        <x:v>N/A</x:v>
      </x:c>
      <x:c r="AB25" t="str">
        <x:v>YES</x:v>
      </x:c>
      <x:c r="AC25" t="str">
        <x:v>VIS-LH-001</x:v>
      </x:c>
      <x:c r="AD25" t="str">
        <x:v>YES</x:v>
      </x:c>
      <x:c r="AE25" t="str">
        <x:v>NO</x:v>
      </x:c>
      <x:c r="AF25"/>
      <x:c r="AG25" t="str">
        <x:v>IN REVIEW</x:v>
      </x:c>
      <x:c r="AH25"/>
      <x:c r="AI25" t="str">
        <x:v>Final market copy</x:v>
      </x:c>
    </x:row>
    <x:row r="26">
      <x:c r="A26" t="str">
        <x:v>WCM-LH-018</x:v>
      </x:c>
      <x:c r="B26" t="str">
        <x:v>PF-LHEAT</x:v>
      </x:c>
      <x:c r="C26"/>
      <x:c r="D26" t="str">
        <x:v>PARTNER CONTENT</x:v>
      </x:c>
      <x:c r="E26" t="str">
        <x:v>Pilot / OEM cooperation</x:v>
      </x:c>
      <x:c r="F26" t="str">
        <x:v>SRC-010</x:v>
      </x:c>
      <x:c r="G26" t="str">
        <x:v>20260805_TII_PureLiquidHeat_MasterDeck_2026_DE_mit_Logo.pdf</x:v>
      </x:c>
      <x:c r="H26" t="str">
        <x:v>05.08.2026</x:v>
      </x:c>
      <x:c r="I26" t="str">
        <x:v>pp. 28, 32, 36</x:v>
      </x:c>
      <x:c r="J26" t="str">
        <x:v>The roadmap prioritizes one fully documented demonstrator and three reference types: premium outdoor, OEM panel and industrial anti-condensation/temperature-holding application.</x:v>
      </x:c>
      <x:c r="K26" t="str">
        <x:v>Gesucht werden Pilot-, OEM- und Prüfpartner für definierte Demonstrator-Systeme.</x:v>
      </x:c>
      <x:c r="L26" t="str">
        <x:v>Der nächste Marktschritt ist ein dokumentiertes Demonstrator- und Referenzprogramm mit Messdaten, Sicherheitskonzept, Fotos/Wärmebildern und technischer Dokumentation.</x:v>
      </x:c>
      <x:c r="M26" t="str">
        <x:v>We work with pilot, OEM and technical partners to turn defined heating concepts into documented demonstrator systems.</x:v>
      </x:c>
      <x:c r="N26" t="str">
        <x:v>B</x:v>
      </x:c>
      <x:c r="O26" t="str">
        <x:v>Strategic partnership roadmap</x:v>
      </x:c>
      <x:c r="P26" t="str">
        <x:v>Pilot/partner cooperation</x:v>
      </x:c>
      <x:c r="Q26" t="str">
        <x:v>Nicht als Serienverfügbarkeit oder zertifiziertes Produktprogramm darstellen.</x:v>
      </x:c>
      <x:c r="R26" t="str">
        <x:v>Medium</x:v>
      </x:c>
      <x:c r="S26" t="str">
        <x:v>OEM; pilot customers; labs; partners</x:v>
      </x:c>
      <x:c r="T26" t="str">
        <x:v>/pure-liquid-heat</x:v>
      </x:c>
      <x:c r="U26" t="str">
        <x:v>WORK WITH PURE</x:v>
      </x:c>
      <x:c r="V26" t="str">
        <x:v>CTA / partnership</x:v>
      </x:c>
      <x:c r="W26" t="str">
        <x:v>HIGH</x:v>
      </x:c>
      <x:c r="X26" t="str">
        <x:v>PUBLIC</x:v>
      </x:c>
      <x:c r="Y26" t="str">
        <x:v>YES</x:v>
      </x:c>
      <x:c r="Z26" t="str">
        <x:v>IN REVIEW</x:v>
      </x:c>
      <x:c r="AA26" t="str">
        <x:v>N/A</x:v>
      </x:c>
      <x:c r="AB26" t="str">
        <x:v>YES</x:v>
      </x:c>
      <x:c r="AC26" t="str">
        <x:v>VIS-LH-007</x:v>
      </x:c>
      <x:c r="AD26" t="str">
        <x:v>YES</x:v>
      </x:c>
      <x:c r="AE26" t="str">
        <x:v>YES</x:v>
      </x:c>
      <x:c r="AF26"/>
      <x:c r="AG26" t="str">
        <x:v>IN REVIEW</x:v>
      </x:c>
      <x:c r="AH26"/>
      <x:c r="AI26" t="str">
        <x:v>Pilot partner package</x:v>
      </x:c>
    </x:row>
    <x:row r="27">
      <x:c r="A27" t="str">
        <x:v>WCM-LH-019</x:v>
      </x:c>
      <x:c r="B27" t="str">
        <x:v>PF-LHEAT</x:v>
      </x:c>
      <x:c r="C27"/>
      <x:c r="D27" t="str">
        <x:v>TEST RESULT</x:v>
      </x:c>
      <x:c r="E27" t="str">
        <x:v>Internal 15/30 mm panel measurement program</x:v>
      </x:c>
      <x:c r="F27" t="str">
        <x:v>SRC-033</x:v>
      </x:c>
      <x:c r="G27" t="str">
        <x:v>IR_Paneel_Gesamtbericht_mit_Diagrammen.docx</x:v>
      </x:c>
      <x:c r="H27" t="str">
        <x:v>09/2026</x:v>
      </x:c>
      <x:c r="I27" t="str">
        <x:v>Sections 2–5</x:v>
      </x:c>
      <x:c r="J27" t="str">
        <x:v>Internal test series documents two copper-contact geometries across 1x/2x coating and multiple voltages, with measured power and surface temperature plus derived electrical/per-area values.</x:v>
      </x:c>
      <x:c r="K27" t="str">
        <x:v>Interne Paneelmessungen zeigen ein gezielt einstellbares Leistungs- und Temperaturverhalten – abhängig von Geometrie, Schichtaufbau, Spannung und Kontaktierung.</x:v>
      </x:c>
      <x:c r="L27" t="str">
        <x:v>Measured power and temperature are B evidence; derived current, R_eff and W/m² are C. Values belong to the specific test specimens.</x:v>
      </x:c>
      <x:c r="M27" t="str">
        <x:v>Internal panel testing documents tunable electrical/thermal behaviour across defined test geometries.</x:v>
      </x:c>
      <x:c r="N27" t="str">
        <x:v>B</x:v>
      </x:c>
      <x:c r="O27" t="str">
        <x:v>Internal measurement</x:v>
      </x:c>
      <x:c r="P27" t="str">
        <x:v>Defined 15/30 mm test panels</x:v>
      </x:c>
      <x:c r="Q27" t="str">
        <x:v>Keine generische Produktfamilien-Leistung; keine Zertifizierung.</x:v>
      </x:c>
      <x:c r="R27" t="str">
        <x:v>High</x:v>
      </x:c>
      <x:c r="S27" t="str">
        <x:v>Technical partners; OEM; evidence readers</x:v>
      </x:c>
      <x:c r="T27" t="str">
        <x:v>/pure-liquid-heat#evidence</x:v>
      </x:c>
      <x:c r="U27" t="str">
        <x:v>EVIDENCE</x:v>
      </x:c>
      <x:c r="V27" t="str">
        <x:v>Technical proof / internal</x:v>
      </x:c>
      <x:c r="W27" t="str">
        <x:v>CRITICAL</x:v>
      </x:c>
      <x:c r="X27" t="str">
        <x:v>TECHNICAL</x:v>
      </x:c>
      <x:c r="Y27" t="str">
        <x:v>WITH QUALIFICATION</x:v>
      </x:c>
      <x:c r="Z27" t="str">
        <x:v>IN REVIEW</x:v>
      </x:c>
      <x:c r="AA27" t="str">
        <x:v>IN REVIEW</x:v>
      </x:c>
      <x:c r="AB27" t="str">
        <x:v>YES</x:v>
      </x:c>
      <x:c r="AC27"/>
      <x:c r="AD27"/>
      <x:c r="AE27" t="str">
        <x:v>YES</x:v>
      </x:c>
      <x:c r="AF27"/>
      <x:c r="AG27" t="str">
        <x:v>IN REVIEW</x:v>
      </x:c>
      <x:c r="AH27" t="str">
        <x:v>Which values may be published once system classes are fixed?</x:v>
      </x:c>
      <x:c r="AI27" t="str">
        <x:v>Formal measurement dossier + external repeat test</x:v>
      </x:c>
    </x:row>
    <x:row r="28">
      <x:c r="A28" t="str">
        <x:v>WCM-LH-020</x:v>
      </x:c>
      <x:c r="B28" t="str">
        <x:v>PF-LHEAT</x:v>
      </x:c>
      <x:c r="C28"/>
      <x:c r="D28" t="str">
        <x:v>TECHNICAL VALUE</x:v>
      </x:c>
      <x:c r="E28" t="str">
        <x:v>Derived power density and design formulas</x:v>
      </x:c>
      <x:c r="F28" t="str">
        <x:v>SRC-033</x:v>
      </x:c>
      <x:c r="G28" t="str">
        <x:v>IR_Paneel_Gesamtbericht_mit_Diagrammen.docx</x:v>
      </x:c>
      <x:c r="H28" t="str">
        <x:v>09/2026</x:v>
      </x:c>
      <x:c r="I28" t="str">
        <x:v>Sections 3, 6–7</x:v>
      </x:c>
      <x:c r="J28" t="str">
        <x:v>The report derives current, effective resistance and power density; design formulas include P=U²/R, R_target=U²/P_target, P_A=P/A and R≈R_s·L/B.</x:v>
      </x:c>
      <x:c r="K28" t="str">
        <x:v>Berechnete Leistungsdichten und Auslegungsformeln unterstützen die Systementwicklung – sie sind keine gemessenen oder freigegebenen Serienkennwerte.</x:v>
      </x:c>
      <x:c r="L28" t="str">
        <x:v>Keep derived metrics C; do not label them as directly measured performance.</x:v>
      </x:c>
      <x:c r="M28" t="str">
        <x:v>Calculated power densities and design formulas support system engineering, not generic product claims.</x:v>
      </x:c>
      <x:c r="N28" t="str">
        <x:v>C</x:v>
      </x:c>
      <x:c r="O28" t="str">
        <x:v>Calculated / modeled</x:v>
      </x:c>
      <x:c r="P28" t="str">
        <x:v>Specific test geometry / engineering model</x:v>
      </x:c>
      <x:c r="Q28" t="str">
        <x:v>Keine Übertragung auf andere Flächen, Substrate oder Serienprodukte ohne Messung.</x:v>
      </x:c>
      <x:c r="R28" t="str">
        <x:v>High</x:v>
      </x:c>
      <x:c r="S28" t="str">
        <x:v>Engineering; OEM</x:v>
      </x:c>
      <x:c r="T28" t="str">
        <x:v>/pure-liquid-heat#evidence</x:v>
      </x:c>
      <x:c r="U28" t="str">
        <x:v>EVIDENCE</x:v>
      </x:c>
      <x:c r="V28" t="str">
        <x:v>Calculated engineering evidence</x:v>
      </x:c>
      <x:c r="W28" t="str">
        <x:v>HIGH</x:v>
      </x:c>
      <x:c r="X28" t="str">
        <x:v>TECHNICAL</x:v>
      </x:c>
      <x:c r="Y28" t="str">
        <x:v>WITH QUALIFICATION</x:v>
      </x:c>
      <x:c r="Z28" t="str">
        <x:v>IN REVIEW</x:v>
      </x:c>
      <x:c r="AA28" t="str">
        <x:v>N/A</x:v>
      </x:c>
      <x:c r="AB28" t="str">
        <x:v>NO</x:v>
      </x:c>
      <x:c r="AC28"/>
      <x:c r="AD28"/>
      <x:c r="AE28" t="str">
        <x:v>NO</x:v>
      </x:c>
      <x:c r="AF28"/>
      <x:c r="AG28" t="str">
        <x:v>IN REVIEW</x:v>
      </x:c>
      <x:c r="AH28"/>
      <x:c r="AI28" t="str">
        <x:v>System-specific measured data sheets</x:v>
      </x:c>
    </x:row>
    <x:row r="29">
      <x:c r="A29" t="str">
        <x:v>WCM-LH-021</x:v>
      </x:c>
      <x:c r="B29" t="str">
        <x:v>PF-LHEAT</x:v>
      </x:c>
      <x:c r="C29"/>
      <x:c r="D29" t="str">
        <x:v>LIMITATION</x:v>
      </x:c>
      <x:c r="E29" t="str">
        <x:v>Honest comparison with electric heating</x:v>
      </x:c>
      <x:c r="F29" t="str">
        <x:v>SRC-034</x:v>
      </x:c>
      <x:c r="G29" t="str">
        <x:v>TII_Pure_Liquid_Heat_Vergleich_Heizsysteme_DE.docx</x:v>
      </x:c>
      <x:c r="H29" t="str">
        <x:v>11.08.2026</x:v>
      </x:c>
      <x:c r="I29" t="str">
        <x:v>Management Summary; section 3</x:v>
      </x:c>
      <x:c r="J29" t="str">
        <x:v>Pure Liquid Heat is explicitly not positioned as a physical electricity-saving miracle; benefit comes from integration, zone heating, controllability, run-time and heated-area reduction. Heat pumps remain energetically superior for continuous heating of poorly insulated spaces.</x:v>
      </x:c>
      <x:c r="K29" t="str">
        <x:v>Der Nutzen liegt in Integration, Zonenwärme und Regelbarkeit – nicht in einer physikalischen Energievermehrung.</x:v>
      </x:c>
      <x:c r="L29" t="str">
        <x:v>Electrical direct heating has no &gt;100% site efficiency advantage; savings require changed use, zoning, setpoints or runtime.</x:v>
      </x:c>
      <x:c r="M29" t="str">
        <x:v>The value lies in integrated, targeted heat and control — not in creating extra energy.</x:v>
      </x:c>
      <x:c r="N29" t="str">
        <x:v>B</x:v>
      </x:c>
      <x:c r="O29" t="str">
        <x:v>Internal technical comparison / claim boundary</x:v>
      </x:c>
      <x:c r="P29" t="str">
        <x:v>Positioning / comparison</x:v>
      </x:c>
      <x:c r="Q29" t="str">
        <x:v>Keine pauschalen Heizkosten- oder Effizienzvorteile gegenüber Wärmepumpe/Konvektor.</x:v>
      </x:c>
      <x:c r="R29" t="str">
        <x:v>High</x:v>
      </x:c>
      <x:c r="S29" t="str">
        <x:v>All; planners; partners</x:v>
      </x:c>
      <x:c r="T29" t="str">
        <x:v>/pure-liquid-heat#why</x:v>
      </x:c>
      <x:c r="U29" t="str">
        <x:v>WHY / LIMITATIONS</x:v>
      </x:c>
      <x:c r="V29" t="str">
        <x:v>Credibility / comparison</x:v>
      </x:c>
      <x:c r="W29" t="str">
        <x:v>CRITICAL</x:v>
      </x:c>
      <x:c r="X29" t="str">
        <x:v>PUBLIC</x:v>
      </x:c>
      <x:c r="Y29" t="str">
        <x:v>YES</x:v>
      </x:c>
      <x:c r="Z29" t="str">
        <x:v>IN REVIEW</x:v>
      </x:c>
      <x:c r="AA29" t="str">
        <x:v>IN REVIEW</x:v>
      </x:c>
      <x:c r="AB29" t="str">
        <x:v>NO</x:v>
      </x:c>
      <x:c r="AC29"/>
      <x:c r="AD29"/>
      <x:c r="AE29" t="str">
        <x:v>NO</x:v>
      </x:c>
      <x:c r="AF29"/>
      <x:c r="AG29" t="str">
        <x:v>IN REVIEW</x:v>
      </x:c>
      <x:c r="AH29"/>
      <x:c r="AI29" t="str">
        <x:v>Final public comparison copy</x:v>
      </x:c>
    </x:row>
    <x:row r="30">
      <x:c r="A30" t="str">
        <x:v>WCM-LH-022</x:v>
      </x:c>
      <x:c r="B30" t="str">
        <x:v>PF-LHEAT</x:v>
      </x:c>
      <x:c r="C30"/>
      <x:c r="D30" t="str">
        <x:v>QUALITY ASSURANCE</x:v>
      </x:c>
      <x:c r="E30" t="str">
        <x:v>Next validation program from panel report</x:v>
      </x:c>
      <x:c r="F30" t="str">
        <x:v>SRC-033</x:v>
      </x:c>
      <x:c r="G30" t="str">
        <x:v>IR_Paneel_Gesamtbericht_mit_Diagrammen.docx</x:v>
      </x:c>
      <x:c r="H30" t="str">
        <x:v>09/2026</x:v>
      </x:c>
      <x:c r="I30" t="str">
        <x:v>Section 8</x:v>
      </x:c>
      <x:c r="J30" t="str">
        <x:v>Recommended next tests: thermal imaging, warm-up time, multi-hour endurance with resistance drift, 100–500 thermal cycles, isolation/contact/current and shutdown testing.</x:v>
      </x:c>
      <x:c r="K30" t="str">
        <x:v>Die interne Messreihe definiert den nächsten Validierungsschritt: Homogenität, Aufheizzeit, Dauerlauf, Zyklen und elektrische Sicherheit.</x:v>
      </x:c>
      <x:c r="L30" t="str">
        <x:v>This is a validation roadmap, not completed evidence.</x:v>
      </x:c>
      <x:c r="M30" t="str">
        <x:v>The next validation step is to turn internal panel data into reproducible system-level test evidence.</x:v>
      </x:c>
      <x:c r="N30" t="str">
        <x:v>D</x:v>
      </x:c>
      <x:c r="O30" t="str">
        <x:v>Development / validation roadmap</x:v>
      </x:c>
      <x:c r="P30" t="str">
        <x:v>Future system qualification</x:v>
      </x:c>
      <x:c r="Q30" t="str">
        <x:v>Prüfungen noch nicht abgeschlossen.</x:v>
      </x:c>
      <x:c r="R30" t="str">
        <x:v>High</x:v>
      </x:c>
      <x:c r="S30" t="str">
        <x:v>Technical partners; labs; OEM</x:v>
      </x:c>
      <x:c r="T30" t="str">
        <x:v>/pure-liquid-heat#safety</x:v>
      </x:c>
      <x:c r="U30" t="str">
        <x:v>SAFETY &amp; VALIDATION</x:v>
      </x:c>
      <x:c r="V30" t="str">
        <x:v>Validation roadmap</x:v>
      </x:c>
      <x:c r="W30" t="str">
        <x:v>HIGH</x:v>
      </x:c>
      <x:c r="X30" t="str">
        <x:v>TECHNICAL</x:v>
      </x:c>
      <x:c r="Y30" t="str">
        <x:v>WITH QUALIFICATION</x:v>
      </x:c>
      <x:c r="Z30" t="str">
        <x:v>IN REVIEW</x:v>
      </x:c>
      <x:c r="AA30" t="str">
        <x:v>IN REVIEW</x:v>
      </x:c>
      <x:c r="AB30" t="str">
        <x:v>YES</x:v>
      </x:c>
      <x:c r="AC30" t="str">
        <x:v>VIS-LH-007</x:v>
      </x:c>
      <x:c r="AD30" t="str">
        <x:v>YES</x:v>
      </x:c>
      <x:c r="AE30" t="str">
        <x:v>NO</x:v>
      </x:c>
      <x:c r="AF30"/>
      <x:c r="AG30" t="str">
        <x:v>IN REVIEW</x:v>
      </x:c>
      <x:c r="AH30"/>
      <x:c r="AI30" t="str">
        <x:v>External test program / offers</x:v>
      </x:c>
    </x:row>
    <x:row r="31">
      <x:c r="A31" t="str">
        <x:v>WCM-SURF-001</x:v>
      </x:c>
      <x:c r="B31" t="str">
        <x:v>PF-SURFACE</x:v>
      </x:c>
      <x:c r="C31"/>
      <x:c r="D31" t="str">
        <x:v>REFERENCE</x:v>
      </x:c>
      <x:c r="E31" t="str">
        <x:v>LANUV aluminium façade case</x:v>
      </x:c>
      <x:c r="F31" t="str">
        <x:v>SRC-035</x:v>
      </x:c>
      <x:c r="G31" t="str">
        <x:v>PURE_PROTECT_SURFACE_TII_Praesentation.pptx</x:v>
      </x:c>
      <x:c r="H31" t="str">
        <x:v>2026</x:v>
      </x:c>
      <x:c r="I31" t="str">
        <x:v>Reference slide</x:v>
      </x:c>
      <x:c r="J31" t="str">
        <x:v>Secondary deck documents approximately 5,000 m² aluminium façade, approximately 100 kg material, four days and four people; stable appearance / very good gloss according to project documents.</x:v>
      </x:c>
      <x:c r="K31" t="str">
        <x:v>Dokumentierte Praxisreferenz: ca. 5.000 m² Aluminiumfassade, ca. 100 kg Material, 4 Tage, 4 Personen – Langzeit- und Kundenbestätigung werden im Referenzdossier ergänzt.</x:v>
      </x:c>
      <x:c r="L31" t="str">
        <x:v>Use project figures as B evidence only until original project dossier and customer confirmation are complete.</x:v>
      </x:c>
      <x:c r="M31" t="str">
        <x:v>Documented project reference with clearly stated source and dossier limitation.</x:v>
      </x:c>
      <x:c r="N31" t="str">
        <x:v>B</x:v>
      </x:c>
      <x:c r="O31" t="str">
        <x:v>Documented project reference</x:v>
      </x:c>
      <x:c r="P31" t="str">
        <x:v>LANUV Essen project</x:v>
      </x:c>
      <x:c r="Q31" t="str">
        <x:v>Keine unabhängige Langzeitwirkung oder universelle Produktivität ableiten.</x:v>
      </x:c>
      <x:c r="R31" t="str">
        <x:v>High</x:v>
      </x:c>
      <x:c r="S31" t="str">
        <x:v>Facility; architecture; partners</x:v>
      </x:c>
      <x:c r="T31" t="str">
        <x:v>/pure-surface-protect</x:v>
      </x:c>
      <x:c r="U31" t="str">
        <x:v>REFERENCE</x:v>
      </x:c>
      <x:c r="V31" t="str">
        <x:v>Reference proof</x:v>
      </x:c>
      <x:c r="W31" t="str">
        <x:v>HIGH</x:v>
      </x:c>
      <x:c r="X31" t="str">
        <x:v>PUBLIC</x:v>
      </x:c>
      <x:c r="Y31" t="str">
        <x:v>WITH QUALIFICATION</x:v>
      </x:c>
      <x:c r="Z31" t="str">
        <x:v>IN REVIEW</x:v>
      </x:c>
      <x:c r="AA31" t="str">
        <x:v>N/A</x:v>
      </x:c>
      <x:c r="AB31" t="str">
        <x:v>YES</x:v>
      </x:c>
      <x:c r="AC31"/>
      <x:c r="AD31"/>
      <x:c r="AE31" t="str">
        <x:v>YES</x:v>
      </x:c>
      <x:c r="AF31"/>
      <x:c r="AG31" t="str">
        <x:v>IN REVIEW</x:v>
      </x:c>
      <x:c r="AH31" t="str">
        <x:v>Full LANUV dossier still open</x:v>
      </x:c>
      <x:c r="AI31" t="str">
        <x:v>Original project dossier / customer release</x:v>
      </x:c>
    </x:row>
    <x:row r="32">
      <x:c r="A32" t="str">
        <x:v>WCM-FLOOR-001</x:v>
      </x:c>
      <x:c r="B32" t="str">
        <x:v>PF-FLOOR</x:v>
      </x:c>
      <x:c r="C32"/>
      <x:c r="D32" t="str">
        <x:v>EVIDENCE</x:v>
      </x:c>
      <x:c r="E32" t="str">
        <x:v>Abrasion / DIBt detail from secondary evidence deck</x:v>
      </x:c>
      <x:c r="F32" t="str">
        <x:v>SRC-035</x:v>
      </x:c>
      <x:c r="G32" t="str">
        <x:v>PURE_PROTECT_SURFACE_TII_Praesentation.pptx</x:v>
      </x:c>
      <x:c r="H32" t="str">
        <x:v>2026</x:v>
      </x:c>
      <x:c r="I32" t="str">
        <x:v>Floor evidence slides</x:v>
      </x:c>
      <x:c r="J32" t="str">
        <x:v>Deck cites TLC report 2022004, wet scrub class 1, Taber values on glass/Leneta, and DIBt number Z-157.20-256 with business reference II 47-1.157.20-17/21 and date 13.12.2021.</x:v>
      </x:c>
      <x:c r="K32" t="str">
        <x:v>Prüf- und Zulassungshinweise sind dokumentiert; für öffentliche Website-Freigabe müssen Originalprüfbericht, aktuelle Zulassung und Produktidentität verifiziert werden.</x:v>
      </x:c>
      <x:c r="L32" t="str">
        <x:v>Secondary source only; do not upgrade to A or claim current DIBt approval without originals.</x:v>
      </x:c>
      <x:c r="M32" t="str">
        <x:v>Documented test/regulatory references pending original-document verification.</x:v>
      </x:c>
      <x:c r="N32" t="str">
        <x:v>B</x:v>
      </x:c>
      <x:c r="O32" t="str">
        <x:v>Secondary evidence reference</x:v>
      </x:c>
      <x:c r="P32" t="str">
        <x:v>Floor Protect documented system</x:v>
      </x:c>
      <x:c r="Q32" t="str">
        <x:v>Keine A-Evidenz oder aktuelle Zulassung ohne Originale.</x:v>
      </x:c>
      <x:c r="R32" t="str">
        <x:v>High</x:v>
      </x:c>
      <x:c r="S32" t="str">
        <x:v>Public-sector buyers; planners</x:v>
      </x:c>
      <x:c r="T32" t="str">
        <x:v>/pure-floor-protect</x:v>
      </x:c>
      <x:c r="U32" t="str">
        <x:v>EVIDENCE</x:v>
      </x:c>
      <x:c r="V32" t="str">
        <x:v>Evidence backlog / public proof</x:v>
      </x:c>
      <x:c r="W32" t="str">
        <x:v>HIGH</x:v>
      </x:c>
      <x:c r="X32" t="str">
        <x:v>TECHNICAL</x:v>
      </x:c>
      <x:c r="Y32" t="str">
        <x:v>REVIEW REQUIRED</x:v>
      </x:c>
      <x:c r="Z32" t="str">
        <x:v>IN REVIEW</x:v>
      </x:c>
      <x:c r="AA32" t="str">
        <x:v>IN REVIEW</x:v>
      </x:c>
      <x:c r="AB32" t="str">
        <x:v>NO</x:v>
      </x:c>
      <x:c r="AC32"/>
      <x:c r="AD32"/>
      <x:c r="AE32" t="str">
        <x:v>NO</x:v>
      </x:c>
      <x:c r="AF32"/>
      <x:c r="AG32" t="str">
        <x:v>IN REVIEW</x:v>
      </x:c>
      <x:c r="AH32" t="str">
        <x:v>Original iTLC/DIBt documents required</x:v>
      </x:c>
      <x:c r="AI32" t="str">
        <x:v>Original TLC 2022004 + DIBt document</x:v>
      </x:c>
    </x:row>
    <x:row r="33">
      <x:c r="A33" t="str">
        <x:v>WCM-WATER-001</x:v>
      </x:c>
      <x:c r="B33" t="str">
        <x:v>PF-WATER</x:v>
      </x:c>
      <x:c r="C33"/>
      <x:c r="D33" t="str">
        <x:v>EVIDENCE</x:v>
      </x:c>
      <x:c r="E33" t="str">
        <x:v>Hydrotox 4493 / 64-day DSLT details</x:v>
      </x:c>
      <x:c r="F33" t="str">
        <x:v>SRC-035</x:v>
      </x:c>
      <x:c r="G33" t="str">
        <x:v>PURE_PROTECT_SURFACE_TII_Praesentation.pptx</x:v>
      </x:c>
      <x:c r="H33" t="str">
        <x:v>2026</x:v>
      </x:c>
      <x:c r="I33" t="str">
        <x:v>Hydrotox / DSLT slides</x:v>
      </x:c>
      <x:c r="J33" t="str">
        <x:v>Secondary deck states that the coated-glass DSLT eluate met DE-UZ 221 eco-/genotoxicity requirements; cites Hydrotox report 4493, 64-day CEN/TS 16637-2 exposure, clear eluates, pH ~6.2–6.5 and TOC in low mg/L range.</x:v>
      </x:c>
      <x:c r="K33" t="str">
        <x:v>Laut vorliegenden Unterlagen wurde das Eluat des geprüften Systems extern öko- und genotoxikologisch bewertet. Die Aussage bleibt auf den geprüften Aufbau und das Eluat begrenzt.</x:v>
      </x:c>
      <x:c r="L33" t="str">
        <x:v>Keep at B in website master until original Hydrotox report and product/rezeptur mapping are in the evidence chain.</x:v>
      </x:c>
      <x:c r="M33" t="str">
        <x:v>According to the documentation, the tested system eluate underwent external eco-/genotoxicity evaluation; scope remains test-system-specific.</x:v>
      </x:c>
      <x:c r="N33" t="str">
        <x:v>B</x:v>
      </x:c>
      <x:c r="O33" t="str">
        <x:v>Secondary documentation of external test</x:v>
      </x:c>
      <x:c r="P33" t="str">
        <x:v>Tested coated-glass system / eluate</x:v>
      </x:c>
      <x:c r="Q33" t="str">
        <x:v>Kein allgemeiner Umweltfreibrief; keine A-Hochstufung ohne Originalbericht.</x:v>
      </x:c>
      <x:c r="R33" t="str">
        <x:v>High</x:v>
      </x:c>
      <x:c r="S33" t="str">
        <x:v>Marine; ESG; technical buyers</x:v>
      </x:c>
      <x:c r="T33" t="str">
        <x:v>/pure-water-protect</x:v>
      </x:c>
      <x:c r="U33" t="str">
        <x:v>EVIDENCE</x:v>
      </x:c>
      <x:c r="V33" t="str">
        <x:v>Environmental evidence</x:v>
      </x:c>
      <x:c r="W33" t="str">
        <x:v>CRITICAL</x:v>
      </x:c>
      <x:c r="X33" t="str">
        <x:v>TECHNICAL</x:v>
      </x:c>
      <x:c r="Y33" t="str">
        <x:v>WITH QUALIFICATION</x:v>
      </x:c>
      <x:c r="Z33" t="str">
        <x:v>IN REVIEW</x:v>
      </x:c>
      <x:c r="AA33" t="str">
        <x:v>IN REVIEW</x:v>
      </x:c>
      <x:c r="AB33" t="str">
        <x:v>YES</x:v>
      </x:c>
      <x:c r="AC33"/>
      <x:c r="AD33"/>
      <x:c r="AE33" t="str">
        <x:v>YES</x:v>
      </x:c>
      <x:c r="AF33"/>
      <x:c r="AG33" t="str">
        <x:v>IN REVIEW</x:v>
      </x:c>
      <x:c r="AH33" t="str">
        <x:v>Original Hydrotox report 4493 missing from current chain</x:v>
      </x:c>
      <x:c r="AI33" t="str">
        <x:v>Original report + recipe/test-object mapping</x:v>
      </x:c>
    </x:row>
    <x:row r="34">
      <x:c r="A34" t="str">
        <x:v>WCM-BOAT-001</x:v>
      </x:c>
      <x:c r="B34" t="str">
        <x:v>PF-BOAT</x:v>
      </x:c>
      <x:c r="C34"/>
      <x:c r="D34" t="str">
        <x:v>INTERNAL ONLY</x:v>
      </x:c>
      <x:c r="E34" t="str">
        <x:v>Historical friction data backlog</x:v>
      </x:c>
      <x:c r="F34" t="str">
        <x:v>SRC-036</x:v>
      </x:c>
      <x:c r="G34" t="str">
        <x:v>it Coating -BoatProtect Vers.1.pptx</x:v>
      </x:c>
      <x:c r="H34" t="str">
        <x:v>11/2017</x:v>
      </x:c>
      <x:c r="I34" t="str">
        <x:v>Friction / consumption slides</x:v>
      </x:c>
      <x:c r="J34" t="str">
        <x:v>Historical deck lists GRZ 0.07 and HRZ 0.09 for BoatProtect and theoretical 80–100 m²/L coverage, but the original test method/laboratory and current-recipe identity are unresolved.</x:v>
      </x:c>
      <x:c r="K34" t="str">
        <x:v>Historische Reibwerte werden ausschließlich als interner Evidenz-Backlog geführt.</x:v>
      </x:c>
      <x:c r="L34" t="str">
        <x:v>Do not publish friction, speed or fuel claims from this source.</x:v>
      </x:c>
      <x:c r="M34" t="str">
        <x:v>Historical friction data are retained internally for verification only.</x:v>
      </x:c>
      <x:c r="N34" t="str">
        <x:v>B</x:v>
      </x:c>
      <x:c r="O34" t="str">
        <x:v>Historical internal documentation</x:v>
      </x:c>
      <x:c r="P34" t="str">
        <x:v>Historical BoatProtect formulation</x:v>
      </x:c>
      <x:c r="Q34" t="str">
        <x:v>Method, lab and current-formulation transfer unresolved.</x:v>
      </x:c>
      <x:c r="R34" t="str">
        <x:v>High</x:v>
      </x:c>
      <x:c r="S34" t="str">
        <x:v>Internal R&amp;D</x:v>
      </x:c>
      <x:c r="T34" t="str">
        <x:v>/pure-boat-protect</x:v>
      </x:c>
      <x:c r="U34" t="str">
        <x:v>EVIDENCE BACKLOG</x:v>
      </x:c>
      <x:c r="V34" t="str">
        <x:v>Internal verification</x:v>
      </x:c>
      <x:c r="W34" t="str">
        <x:v>LOW</x:v>
      </x:c>
      <x:c r="X34" t="str">
        <x:v>INTERNAL</x:v>
      </x:c>
      <x:c r="Y34" t="str">
        <x:v>NO</x:v>
      </x:c>
      <x:c r="Z34" t="str">
        <x:v>NOT STARTED</x:v>
      </x:c>
      <x:c r="AA34" t="str">
        <x:v>N/A</x:v>
      </x:c>
      <x:c r="AB34" t="str">
        <x:v>NO</x:v>
      </x:c>
      <x:c r="AC34"/>
      <x:c r="AD34"/>
      <x:c r="AE34" t="str">
        <x:v>NO</x:v>
      </x:c>
      <x:c r="AF34"/>
      <x:c r="AG34" t="str">
        <x:v>HOLD</x:v>
      </x:c>
      <x:c r="AH34" t="str">
        <x:v>Can the original friction test and formulation mapping be recovered?</x:v>
      </x:c>
      <x:c r="AI34" t="str">
        <x:v>Original test report + formulation history</x:v>
      </x:c>
    </x:row>
  </x:sheetData>
  <x:mergeCells>
    <x:mergeCell ref="A1:AI1"/>
    <x:mergeCell ref="A2:AI2"/>
  </x:mergeCells>
  <x:conditionalFormatting sqref="N5:N1000">
    <x:cfRule type="expression" dxfId="1" priority="1">
      <x:formula>N5="A"</x:formula>
    </x:cfRule>
    <x:cfRule type="expression" dxfId="2" priority="2">
      <x:formula>N5="D"</x:formula>
    </x:cfRule>
  </x:conditionalFormatting>
  <x:dataValidations count="8">
    <x:dataValidation type="list" sqref="D5:D1000">
      <x:formula1>99_LISTS!$K$4:$K$26</x:formula1>
    </x:dataValidation>
    <x:dataValidation type="list" sqref="N5:N1000">
      <x:formula1>99_LISTS!$A$4:$A$8</x:formula1>
    </x:dataValidation>
    <x:dataValidation type="list" sqref="W5:W1000">
      <x:formula1>99_LISTS!$B$4:$B$7</x:formula1>
    </x:dataValidation>
    <x:dataValidation type="list" sqref="X5:X1000">
      <x:formula1>99_LISTS!$C$4:$C$6</x:formula1>
    </x:dataValidation>
    <x:dataValidation type="list" sqref="Z5:AA1000">
      <x:formula1>99_LISTS!$G$4:$G$8</x:formula1>
    </x:dataValidation>
    <x:dataValidation type="list" sqref="AB5:AB1000">
      <x:formula1>99_LISTS!$D$4:$D$7</x:formula1>
    </x:dataValidation>
    <x:dataValidation type="list" sqref="AE5:AE1000">
      <x:formula1>99_LISTS!$D$4:$D$7</x:formula1>
    </x:dataValidation>
    <x:dataValidation type="list" sqref="AG5:AG1000">
      <x:formula1>99_LISTS!$E$4:$E$8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deb36cb917d4ad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24" hidden="0" customWidth="1"/>
    <x:col min="5" max="5" width="40" hidden="0" customWidth="1"/>
    <x:col min="6" max="6" width="24" hidden="0" customWidth="1"/>
    <x:col min="7" max="7" width="32" hidden="0" customWidth="1"/>
    <x:col min="8" max="8" width="46" hidden="0" customWidth="1"/>
    <x:col min="9" max="9" width="46" hidden="0" customWidth="1"/>
    <x:col min="10" max="10" width="42" hidden="0" customWidth="1"/>
    <x:col min="11" max="11" width="14" hidden="0" customWidth="1"/>
    <x:col min="12" max="12" width="28" hidden="0" customWidth="1"/>
    <x:col min="13" max="13" width="34" hidden="0" customWidth="1"/>
    <x:col min="14" max="14" width="20" hidden="0" customWidth="1"/>
    <x:col min="15" max="15" width="16" hidden="0" customWidth="1"/>
    <x:col min="16" max="16" width="16" hidden="0" customWidth="1"/>
    <x:col min="17" max="17" width="26" hidden="0" customWidth="1"/>
    <x:col min="18" max="18" width="16" hidden="0" customWidth="1"/>
    <x:col min="19" max="19" width="16" hidden="0" customWidth="1"/>
    <x:col min="20" max="20" width="38" hidden="0" customWidth="1"/>
  </x:cols>
  <x:sheetData>
    <x:row r="1" ht="26" customHeight="1">
      <x:c r="A1" s="4" t="str">
        <x:v>04 · CLAIM REGISTER</x:v>
      </x:c>
    </x:row>
    <x:row r="2" ht="42" customHeight="1">
      <x:c r="A2" s="11" t="str">
        <x:v>Seed aus TIPMS V2.0. Import bedeutet ausdrücklich keine Website-Freigabe: Website Use steht initial auf REVIEW REQUIRED.</x:v>
      </x:c>
    </x:row>
    <x:row r="4" ht="34" customHeight="1">
      <x:c r="A4" s="20" t="str">
        <x:v>CLAIM-ID</x:v>
      </x:c>
      <x:c r="B4" s="20" t="str">
        <x:v>PRODUCT FAMILY ID</x:v>
      </x:c>
      <x:c r="C4" s="20" t="str">
        <x:v>SYSTEM / VARIANT ID</x:v>
      </x:c>
      <x:c r="D4" s="20" t="str">
        <x:v>TIPMS TECHNOLOGY</x:v>
      </x:c>
      <x:c r="E4" s="20" t="str">
        <x:v>CLAIM</x:v>
      </x:c>
      <x:c r="F4" s="20" t="str">
        <x:v>TIPMS STATUS</x:v>
      </x:c>
      <x:c r="G4" s="20" t="str">
        <x:v>TIPMS BELEG</x:v>
      </x:c>
      <x:c r="H4" s="20" t="str">
        <x:v>APPROVED / ALLOWED WORDING</x:v>
      </x:c>
      <x:c r="I4" s="20" t="str">
        <x:v>NO-GO / RISK</x:v>
      </x:c>
      <x:c r="J4" s="20" t="str">
        <x:v>NEXT VALIDATION STEP</x:v>
      </x:c>
      <x:c r="K4" s="20" t="str">
        <x:v>EVIDENCE LEVEL</x:v>
      </x:c>
      <x:c r="L4" s="20" t="str">
        <x:v>SCOPE</x:v>
      </x:c>
      <x:c r="M4" s="20" t="str">
        <x:v>LIMITATION</x:v>
      </x:c>
      <x:c r="N4" s="20" t="str">
        <x:v>WEBSITE USE</x:v>
      </x:c>
      <x:c r="O4" s="20" t="str">
        <x:v>TECHNICAL REVIEW</x:v>
      </x:c>
      <x:c r="P4" s="20" t="str">
        <x:v>REGULATORY REVIEW</x:v>
      </x:c>
      <x:c r="Q4" s="20" t="str">
        <x:v>PAGES USED</x:v>
      </x:c>
      <x:c r="R4" s="20" t="str">
        <x:v>SOURCE-ID</x:v>
      </x:c>
      <x:c r="S4" s="20" t="str">
        <x:v>STATUS</x:v>
      </x:c>
      <x:c r="T4" s="20" t="str">
        <x:v>NOTES</x:v>
      </x:c>
    </x:row>
    <x:row r="5" ht="42" customHeight="1">
      <x:c r="A5" s="28" t="str">
        <x:v>CLM-001</x:v>
      </x:c>
      <x:c r="B5" s="28" t="str">
        <x:v>PF-LHEAT</x:v>
      </x:c>
      <x:c r="C5" s="28"/>
      <x:c r="D5" s="28" t="str">
        <x:v>Pure Liquid Heat</x:v>
      </x:c>
      <x:c r="E5" s="28" t="str">
        <x:v>gleichmäßige flächige Heizwirkung</x:v>
      </x:c>
      <x:c r="F5" s="28" t="str">
        <x:v>intern beobachtet</x:v>
      </x:c>
      <x:c r="G5" s="28" t="str">
        <x:v>Widerstands-/Temperaturversuche; SRC-032/SRC-010</x:v>
      </x:c>
      <x:c r="H5" s="28" t="str">
        <x:v>flächige Heizbeschichtung mit anwendungsabhängigem Temperaturprofil</x:v>
      </x:c>
      <x:c r="I5" s="28" t="str">
        <x:v>pauschal gleichmäßig ohne Temperaturmapping</x:v>
      </x:c>
      <x:c r="J5" s="28" t="str">
        <x:v>Thermografie-/Temperaturmessreihe für definierten Aufbau</x:v>
      </x:c>
      <x:c r="K5" s="28" t="str">
        <x:v>B</x:v>
      </x:c>
      <x:c r="L5" s="28" t="str">
        <x:v>Defined system build-up</x:v>
      </x:c>
      <x:c r="M5" s="28" t="str">
        <x:v>Messbild und Gleichmäßigkeit aufbauabhängig</x:v>
      </x:c>
      <x:c r="N5" s="28" t="str">
        <x:v>WITH QUALIFICATION</x:v>
      </x:c>
      <x:c r="O5" s="28" t="str">
        <x:v>IN REVIEW</x:v>
      </x:c>
      <x:c r="P5" s="28" t="str">
        <x:v>IN REVIEW</x:v>
      </x:c>
      <x:c r="Q5" s="28" t="str">
        <x:v>/pure-liquid-heat</x:v>
      </x:c>
      <x:c r="R5" s="28" t="str">
        <x:v>SRC-032</x:v>
      </x:c>
      <x:c r="S5" s="28" t="str">
        <x:v>IN REVIEW</x:v>
      </x:c>
      <x:c r="T5" s="28" t="str">
        <x:v>Website-safe after qualification; no automatic uniformity claim.</x:v>
      </x:c>
    </x:row>
    <x:row r="6" ht="42" customHeight="1">
      <x:c r="A6" s="28" t="str">
        <x:v>CLM-002</x:v>
      </x:c>
      <x:c r="B6" s="28" t="str">
        <x:v>PF-LHEAT</x:v>
      </x:c>
      <x:c r="C6" s="28"/>
      <x:c r="D6" s="28" t="str">
        <x:v>Pure Liquid Heat</x:v>
      </x:c>
      <x:c r="E6" s="28" t="str">
        <x:v>90 °C Dauerlauf</x:v>
      </x:c>
      <x:c r="F6" s="28" t="str">
        <x:v>intern</x:v>
      </x:c>
      <x:c r="G6" s="28" t="str">
        <x:v>Portugal/GFB-Referenz; SRC-031</x:v>
      </x:c>
      <x:c r="H6" s="28" t="str">
        <x:v>interne Praxisreferenz: GFB-Paneel im 24/7-Winterbetrieb bei ca. 90 °C mit stabil beobachtetem Temperatur- und Leistungsniveau</x:v>
      </x:c>
      <x:c r="I6" s="28" t="str">
        <x:v>zertifizierter Dauerbetrieb / garantierte Langzeitstabilität</x:v>
      </x:c>
      <x:c r="J6" s="28" t="str">
        <x:v>Formaler Referenzbericht + Langzeit-/Dauerlaufprüfung</x:v>
      </x:c>
      <x:c r="K6" s="28" t="str">
        <x:v>B</x:v>
      </x:c>
      <x:c r="L6" s="28" t="str">
        <x:v>One GFB panel / winter season</x:v>
      </x:c>
      <x:c r="M6" s="28" t="str">
        <x:v>Keine unabhängige Prüfung, keine vollständigen Messprotokolle</x:v>
      </x:c>
      <x:c r="N6" s="28" t="str">
        <x:v>WITH QUALIFICATION</x:v>
      </x:c>
      <x:c r="O6" s="28" t="str">
        <x:v>IN REVIEW</x:v>
      </x:c>
      <x:c r="P6" s="28" t="str">
        <x:v>N/A</x:v>
      </x:c>
      <x:c r="Q6" s="28" t="str">
        <x:v>/pure-liquid-heat#evidence</x:v>
      </x:c>
      <x:c r="R6" s="28" t="str">
        <x:v>SRC-031</x:v>
      </x:c>
      <x:c r="S6" s="28" t="str">
        <x:v>IN REVIEW</x:v>
      </x:c>
      <x:c r="T6" s="28" t="str">
        <x:v>Keep clearly labelled as internal field reference.</x:v>
      </x:c>
    </x:row>
    <x:row r="7" ht="42" customHeight="1">
      <x:c r="A7" s="28" t="str">
        <x:v>CLM-003</x:v>
      </x:c>
      <x:c r="B7" s="28" t="str">
        <x:v>PF-LHEAT</x:v>
      </x:c>
      <x:c r="C7" s="28"/>
      <x:c r="D7" s="28" t="str">
        <x:v>Pure Liquid Heat</x:v>
      </x:c>
      <x:c r="E7" s="28" t="str">
        <x:v>höhere Energieeffizienz als Wärmepumpe</x:v>
      </x:c>
      <x:c r="F7" s="28" t="str">
        <x:v>nicht belegt</x:v>
      </x:c>
      <x:c r="G7" s="28" t="str">
        <x:v>keiner; SRC-031 grenzt Energievermehrung ausdrücklich aus</x:v>
      </x:c>
      <x:c r="H7" s="28" t="str">
        <x:v>keine pauschale Aussage; Nutzen über Reaktionszeit, Flächenwärme und Zonenregelung erklären</x:v>
      </x:c>
      <x:c r="I7" s="28" t="str">
        <x:v>50–90 % Heizkostenersparnis / Wärmepumpenüberlegenheit / Wirkungsgrad &gt;100 %</x:v>
      </x:c>
      <x:c r="J7" s="28" t="str">
        <x:v>Objektbezogene Vergleichsmessung und physikalisch saubere Systembewertung</x:v>
      </x:c>
      <x:c r="K7" s="28" t="str">
        <x:v>N/A</x:v>
      </x:c>
      <x:c r="L7" s="28" t="str">
        <x:v>All applications</x:v>
      </x:c>
      <x:c r="M7" s="28" t="str">
        <x:v>Keine pauschale Systemüberlegenheit nachgewiesen</x:v>
      </x:c>
      <x:c r="N7" s="28" t="str">
        <x:v>NO</x:v>
      </x:c>
      <x:c r="O7" s="28" t="str">
        <x:v>IN REVIEW</x:v>
      </x:c>
      <x:c r="P7" s="28" t="str">
        <x:v>N/A</x:v>
      </x:c>
      <x:c r="Q7" s="28"/>
      <x:c r="R7" s="28" t="str">
        <x:v>SRC-031</x:v>
      </x:c>
      <x:c r="S7" s="28" t="str">
        <x:v>IN REVIEW</x:v>
      </x:c>
      <x:c r="T7" s="28" t="str">
        <x:v>Explicit no-go claim.</x:v>
      </x:c>
    </x:row>
    <x:row r="8" ht="42" customHeight="1">
      <x:c r="A8" s="28" t="str">
        <x:v>CLM-004</x:v>
      </x:c>
      <x:c r="B8" s="28" t="str">
        <x:v>PF-THERMO</x:v>
      </x:c>
      <x:c r="C8" s="28" t="str"/>
      <x:c r="D8" s="28" t="str">
        <x:v>Pure Thermo</x:v>
      </x:c>
      <x:c r="E8" s="28" t="str">
        <x:v>λ 0,035 W/(m·K)</x:v>
      </x:c>
      <x:c r="F8" s="28" t="str">
        <x:v>Wert dokumentiert</x:v>
      </x:c>
      <x:c r="G8" s="28" t="str">
        <x:v>Originalprüfgrundlage noch beizufügen</x:v>
      </x:c>
      <x:c r="H8" s="28" t="str">
        <x:v>Wärmeleitfähigkeit laut vorliegender Kennwertbasis 0,035</x:v>
      </x:c>
      <x:c r="I8" s="28" t="str">
        <x:v>förderfähiger Bemessungswert ohne Anerkennungsprüfung</x:v>
      </x:c>
      <x:c r="J8" s="28" t="str">
        <x:v>Originalbericht + Energieberaterbewertung</x:v>
      </x:c>
      <x:c r="K8" s="28" t="str"/>
      <x:c r="L8" s="28" t="str"/>
      <x:c r="M8" s="28" t="str"/>
      <x:c r="N8" s="28" t="str">
        <x:v>REVIEW REQUIRED</x:v>
      </x:c>
      <x:c r="O8" s="28" t="str">
        <x:v>NOT STARTED</x:v>
      </x:c>
      <x:c r="P8" s="28" t="str">
        <x:v>NOT STARTED</x:v>
      </x:c>
      <x:c r="Q8" s="28" t="str"/>
      <x:c r="R8" s="28" t="str"/>
      <x:c r="S8" s="28" t="str">
        <x:v>IN REVIEW</x:v>
      </x:c>
      <x:c r="T8" s="28" t="str">
        <x:v>Imported from TIPMS V2.0; no automatic public approval.</x:v>
      </x:c>
    </x:row>
    <x:row r="9" ht="42" customHeight="1">
      <x:c r="A9" s="28" t="str">
        <x:v>CLM-005</x:v>
      </x:c>
      <x:c r="B9" s="28" t="str">
        <x:v>PF-THERMO</x:v>
      </x:c>
      <x:c r="C9" s="28" t="str"/>
      <x:c r="D9" s="28" t="str">
        <x:v>Pure Thermo</x:v>
      </x:c>
      <x:c r="E9" s="28" t="str">
        <x:v>Schimmelprävention</x:v>
      </x:c>
      <x:c r="F9" s="28" t="str">
        <x:v>plausibel</x:v>
      </x:c>
      <x:c r="G9" s="28" t="str">
        <x:v>Oberflächentemperatur- und Feuchtelogik</x:v>
      </x:c>
      <x:c r="H9" s="28" t="str">
        <x:v>kann Schimmelrisiko an kalten Oberflächen reduzieren</x:v>
      </x:c>
      <x:c r="I9" s="28" t="str">
        <x:v>beseitigt jede Schimmelursache</x:v>
      </x:c>
      <x:c r="J9" s="28" t="str">
        <x:v>Pilot und WUFI/Schimmelbewertung</x:v>
      </x:c>
      <x:c r="K9" s="28" t="str"/>
      <x:c r="L9" s="28" t="str"/>
      <x:c r="M9" s="28" t="str"/>
      <x:c r="N9" s="28" t="str">
        <x:v>REVIEW REQUIRED</x:v>
      </x:c>
      <x:c r="O9" s="28" t="str">
        <x:v>NOT STARTED</x:v>
      </x:c>
      <x:c r="P9" s="28" t="str">
        <x:v>NOT STARTED</x:v>
      </x:c>
      <x:c r="Q9" s="28" t="str"/>
      <x:c r="R9" s="28" t="str"/>
      <x:c r="S9" s="28" t="str">
        <x:v>IN REVIEW</x:v>
      </x:c>
      <x:c r="T9" s="28" t="str">
        <x:v>Imported from TIPMS V2.0; no automatic public approval.</x:v>
      </x:c>
    </x:row>
    <x:row r="10" ht="42" customHeight="1">
      <x:c r="A10" s="28" t="str">
        <x:v>CLM-006</x:v>
      </x:c>
      <x:c r="B10" s="28" t="str">
        <x:v>PF-FLOOR</x:v>
      </x:c>
      <x:c r="C10" s="28" t="str"/>
      <x:c r="D10" s="28" t="str">
        <x:v>Pure Floor Protect</x:v>
      </x:c>
      <x:c r="E10" s="28" t="str">
        <x:v>Nassabrieb Klasse 1</x:v>
      </x:c>
      <x:c r="F10" s="28" t="str">
        <x:v>geprüft</x:v>
      </x:c>
      <x:c r="G10" s="28" t="str">
        <x:v>EN ISO 11998 / DIN EN 13300</x:v>
      </x:c>
      <x:c r="H10" s="28" t="str">
        <x:v>geprüfte Nassabriebbeständigkeit Klasse 1</x:v>
      </x:c>
      <x:c r="I10" s="28" t="str">
        <x:v>unbegrenzt abriebfest</x:v>
      </x:c>
      <x:c r="J10" s="28" t="str">
        <x:v>Objektbezug/Bodenaufbau bestätigen</x:v>
      </x:c>
      <x:c r="K10" s="28" t="str"/>
      <x:c r="L10" s="28" t="str"/>
      <x:c r="M10" s="28" t="str"/>
      <x:c r="N10" s="28" t="str">
        <x:v>REVIEW REQUIRED</x:v>
      </x:c>
      <x:c r="O10" s="28" t="str">
        <x:v>NOT STARTED</x:v>
      </x:c>
      <x:c r="P10" s="28" t="str">
        <x:v>NOT STARTED</x:v>
      </x:c>
      <x:c r="Q10" s="28" t="str"/>
      <x:c r="R10" s="28" t="str"/>
      <x:c r="S10" s="28" t="str">
        <x:v>IN REVIEW</x:v>
      </x:c>
      <x:c r="T10" s="28" t="str">
        <x:v>Imported from TIPMS V2.0; no automatic public approval.</x:v>
      </x:c>
    </x:row>
    <x:row r="11" ht="42" customHeight="1">
      <x:c r="A11" s="28" t="str">
        <x:v>CLM-007</x:v>
      </x:c>
      <x:c r="B11" s="28" t="str">
        <x:v>PF-FLOOR</x:v>
      </x:c>
      <x:c r="C11" s="28" t="str"/>
      <x:c r="D11" s="28" t="str">
        <x:v>Pure Floor Protect</x:v>
      </x:c>
      <x:c r="E11" s="28" t="str">
        <x:v>für öffentliche Bauten zugelassen</x:v>
      </x:c>
      <x:c r="F11" s="28" t="str">
        <x:v>dokumentiert, zu verifizieren</x:v>
      </x:c>
      <x:c r="G11" s="28" t="str">
        <x:v>Z-157.20-256 laut Unterlagen</x:v>
      </x:c>
      <x:c r="H11" s="28" t="str">
        <x:v>laut vorliegenden Unterlagen DIBt-Zulassung; aktuelle Gültigkeit prüfen</x:v>
      </x:c>
      <x:c r="I11" s="28" t="str">
        <x:v>pauschale aktuelle Zulassung ohne Originaldokument</x:v>
      </x:c>
      <x:c r="J11" s="28" t="str">
        <x:v>Original-DIBt-Unterlage einholen</x:v>
      </x:c>
      <x:c r="K11" s="28" t="str"/>
      <x:c r="L11" s="28" t="str"/>
      <x:c r="M11" s="28" t="str"/>
      <x:c r="N11" s="28" t="str">
        <x:v>REVIEW REQUIRED</x:v>
      </x:c>
      <x:c r="O11" s="28" t="str">
        <x:v>NOT STARTED</x:v>
      </x:c>
      <x:c r="P11" s="28" t="str">
        <x:v>NOT STARTED</x:v>
      </x:c>
      <x:c r="Q11" s="28" t="str"/>
      <x:c r="R11" s="28" t="str"/>
      <x:c r="S11" s="28" t="str">
        <x:v>IN REVIEW</x:v>
      </x:c>
      <x:c r="T11" s="28" t="str">
        <x:v>Imported from TIPMS V2.0; no automatic public approval.</x:v>
      </x:c>
    </x:row>
    <x:row r="12" ht="42" customHeight="1">
      <x:c r="A12" s="28" t="str">
        <x:v>CLM-008</x:v>
      </x:c>
      <x:c r="B12" s="28" t="str">
        <x:v>PF-BOAT</x:v>
      </x:c>
      <x:c r="C12" s="28" t="str"/>
      <x:c r="D12" s="28" t="str">
        <x:v>Pure Boat Protect</x:v>
      </x:c>
      <x:c r="E12" s="28" t="str">
        <x:v>bis 3 Jahre</x:v>
      </x:c>
      <x:c r="F12" s="28" t="str">
        <x:v>Unterlagenangabe</x:v>
      </x:c>
      <x:c r="G12" s="28" t="str">
        <x:v>Marine-Unterlage</x:v>
      </x:c>
      <x:c r="H12" s="28" t="str">
        <x:v>bis zu 3 Jahre je nach Nutzung und Exposition</x:v>
      </x:c>
      <x:c r="I12" s="28" t="str">
        <x:v>3-Jahres-Garantie für jede Zone</x:v>
      </x:c>
      <x:c r="J12" s="28" t="str">
        <x:v>Langzeitreferenzen je Substrat</x:v>
      </x:c>
      <x:c r="K12" s="28" t="str"/>
      <x:c r="L12" s="28" t="str"/>
      <x:c r="M12" s="28" t="str"/>
      <x:c r="N12" s="28" t="str">
        <x:v>REVIEW REQUIRED</x:v>
      </x:c>
      <x:c r="O12" s="28" t="str">
        <x:v>NOT STARTED</x:v>
      </x:c>
      <x:c r="P12" s="28" t="str">
        <x:v>NOT STARTED</x:v>
      </x:c>
      <x:c r="Q12" s="28" t="str"/>
      <x:c r="R12" s="28" t="str"/>
      <x:c r="S12" s="28" t="str">
        <x:v>IN REVIEW</x:v>
      </x:c>
      <x:c r="T12" s="28" t="str">
        <x:v>Imported from TIPMS V2.0; no automatic public approval.</x:v>
      </x:c>
    </x:row>
    <x:row r="13" ht="42" customHeight="1">
      <x:c r="A13" s="28" t="str">
        <x:v>CLM-009</x:v>
      </x:c>
      <x:c r="B13" s="28" t="str">
        <x:v>TECH-PV</x:v>
      </x:c>
      <x:c r="C13" s="28" t="str"/>
      <x:c r="D13" s="28" t="str">
        <x:v>PV-Kunststofffolie</x:v>
      </x:c>
      <x:c r="E13" s="28" t="str">
        <x:v>540 W / 6,5 kg / 150 EUR/m²</x:v>
      </x:c>
      <x:c r="F13" s="28" t="str">
        <x:v>Konzeptwerte</x:v>
      </x:c>
      <x:c r="G13" s="28" t="str">
        <x:v>Nutzerangaben/Konzeptberichte</x:v>
      </x:c>
      <x:c r="H13" s="28" t="str">
        <x:v>Konzeptwerte, vor Produktfreigabe zu validieren</x:v>
      </x:c>
      <x:c r="I13" s="28" t="str">
        <x:v>serienreife Leistungs-/Preisgarantie</x:v>
      </x:c>
      <x:c r="J13" s="28" t="str">
        <x:v>unabhängige Modul- und Systemprüfung</x:v>
      </x:c>
      <x:c r="K13" s="28" t="str"/>
      <x:c r="L13" s="28" t="str"/>
      <x:c r="M13" s="28" t="str"/>
      <x:c r="N13" s="28" t="str">
        <x:v>REVIEW REQUIRED</x:v>
      </x:c>
      <x:c r="O13" s="28" t="str">
        <x:v>NOT STARTED</x:v>
      </x:c>
      <x:c r="P13" s="28" t="str">
        <x:v>NOT STARTED</x:v>
      </x:c>
      <x:c r="Q13" s="28" t="str"/>
      <x:c r="R13" s="28" t="str"/>
      <x:c r="S13" s="28" t="str">
        <x:v>IN REVIEW</x:v>
      </x:c>
      <x:c r="T13" s="28" t="str">
        <x:v>Imported from TIPMS V2.0; no automatic public approval.</x:v>
      </x:c>
    </x:row>
    <x:row r="14" ht="42" customHeight="1">
      <x:c r="A14" s="28" t="str">
        <x:v>CLM-010</x:v>
      </x:c>
      <x:c r="B14" s="28" t="str">
        <x:v>PF-T730</x:v>
      </x:c>
      <x:c r="C14" s="28" t="str"/>
      <x:c r="D14" s="28" t="str">
        <x:v>Pure Protect T 730</x:v>
      </x:c>
      <x:c r="E14" s="28" t="str">
        <x:v>&gt;99,99 % bakterielle Reduktion</x:v>
      </x:c>
      <x:c r="F14" s="28" t="str">
        <x:v>Testhinweis/zu verifizieren</x:v>
      </x:c>
      <x:c r="G14" s="28" t="str">
        <x:v>ISO 22196 laut Unterlagen</x:v>
      </x:c>
      <x:c r="H14" s="28" t="str">
        <x:v>laut vorliegenden Testdaten &gt;99,99 % unter definierten Laborbedingungen</x:v>
      </x:c>
      <x:c r="I14" s="28" t="str">
        <x:v>keine pauschale Infektionsprävention oder Desinfektionsersatz</x:v>
      </x:c>
      <x:c r="J14" s="28" t="str">
        <x:v>Originalberichte + BPR-Claimfreigabe</x:v>
      </x:c>
      <x:c r="K14" s="28" t="str"/>
      <x:c r="L14" s="28" t="str"/>
      <x:c r="M14" s="28" t="str"/>
      <x:c r="N14" s="28" t="str">
        <x:v>REVIEW REQUIRED</x:v>
      </x:c>
      <x:c r="O14" s="28" t="str">
        <x:v>NOT STARTED</x:v>
      </x:c>
      <x:c r="P14" s="28" t="str">
        <x:v>NOT STARTED</x:v>
      </x:c>
      <x:c r="Q14" s="28" t="str"/>
      <x:c r="R14" s="28" t="str"/>
      <x:c r="S14" s="28" t="str">
        <x:v>IN REVIEW</x:v>
      </x:c>
      <x:c r="T14" s="28" t="str">
        <x:v>Imported from TIPMS V2.0; no automatic public approval.</x:v>
      </x:c>
    </x:row>
    <x:row r="15" ht="42" customHeight="1">
      <x:c r="A15" s="28" t="str">
        <x:v>CLM-011</x:v>
      </x:c>
      <x:c r="B15" s="28" t="str">
        <x:v>PF-T730</x:v>
      </x:c>
      <x:c r="C15" s="28" t="str"/>
      <x:c r="D15" s="28" t="str">
        <x:v>Pure Protect T 730</x:v>
      </x:c>
      <x:c r="E15" s="28" t="str">
        <x:v>viruzide Wirkung / Schnellwirkung</x:v>
      </x:c>
      <x:c r="F15" s="28" t="str">
        <x:v>Testhinweise</x:v>
      </x:c>
      <x:c r="G15" s="28" t="str">
        <x:v>ISO 21702/EUROVIR/Rajiv Gandhi/WEIPU laut Unterlagen</x:v>
      </x:c>
      <x:c r="H15" s="28" t="str">
        <x:v>nur virus-, zeit-, untergrund- und rezepturbezogen formulieren</x:v>
      </x:c>
      <x:c r="I15" s="28" t="str">
        <x:v>universell antiviral, medizinische Schutzwirkung</x:v>
      </x:c>
      <x:c r="J15" s="28" t="str">
        <x:v>Originalberichte, Übersetzung, regulatorische Bewertung</x:v>
      </x:c>
      <x:c r="K15" s="28" t="str"/>
      <x:c r="L15" s="28" t="str"/>
      <x:c r="M15" s="28" t="str"/>
      <x:c r="N15" s="28" t="str">
        <x:v>REVIEW REQUIRED</x:v>
      </x:c>
      <x:c r="O15" s="28" t="str">
        <x:v>NOT STARTED</x:v>
      </x:c>
      <x:c r="P15" s="28" t="str">
        <x:v>NOT STARTED</x:v>
      </x:c>
      <x:c r="Q15" s="28" t="str"/>
      <x:c r="R15" s="28" t="str"/>
      <x:c r="S15" s="28" t="str">
        <x:v>IN REVIEW</x:v>
      </x:c>
      <x:c r="T15" s="28" t="str">
        <x:v>Imported from TIPMS V2.0; no automatic public approval.</x:v>
      </x:c>
    </x:row>
    <x:row r="16" ht="42" customHeight="1">
      <x:c r="A16" s="28" t="str">
        <x:v>CLM-012</x:v>
      </x:c>
      <x:c r="B16" s="28" t="str">
        <x:v>PF-SURFACE</x:v>
      </x:c>
      <x:c r="C16" s="28" t="str"/>
      <x:c r="D16" s="28" t="str">
        <x:v>Pure Surface Protect</x:v>
      </x:c>
      <x:c r="E16" s="28" t="str">
        <x:v>70–90 m²/L und 2–8 µm</x:v>
      </x:c>
      <x:c r="F16" s="28" t="str">
        <x:v>dokumentiert als Projektwert</x:v>
      </x:c>
      <x:c r="G16" s="28" t="str">
        <x:v>Master Deck</x:v>
      </x:c>
      <x:c r="H16" s="28" t="str">
        <x:v>typische anwendungsabhängige Flächenleistung und Schichtdicke</x:v>
      </x:c>
      <x:c r="I16" s="28" t="str">
        <x:v>garantierter Wert auf jedem Untergrund</x:v>
      </x:c>
      <x:c r="J16" s="28" t="str">
        <x:v>Projektverbrauch dokumentieren</x:v>
      </x:c>
      <x:c r="K16" s="28" t="str"/>
      <x:c r="L16" s="28" t="str"/>
      <x:c r="M16" s="28" t="str"/>
      <x:c r="N16" s="28" t="str">
        <x:v>REVIEW REQUIRED</x:v>
      </x:c>
      <x:c r="O16" s="28" t="str">
        <x:v>NOT STARTED</x:v>
      </x:c>
      <x:c r="P16" s="28" t="str">
        <x:v>NOT STARTED</x:v>
      </x:c>
      <x:c r="Q16" s="28" t="str"/>
      <x:c r="R16" s="28" t="str"/>
      <x:c r="S16" s="28" t="str">
        <x:v>IN REVIEW</x:v>
      </x:c>
      <x:c r="T16" s="28" t="str">
        <x:v>Imported from TIPMS V2.0; no automatic public approval.</x:v>
      </x:c>
    </x:row>
    <x:row r="17" ht="42" customHeight="1">
      <x:c r="A17" s="28" t="str">
        <x:v>CLM-013</x:v>
      </x:c>
      <x:c r="B17" s="28" t="str">
        <x:v>PF-SURFACE</x:v>
      </x:c>
      <x:c r="C17" s="28" t="str"/>
      <x:c r="D17" s="28" t="str">
        <x:v>Pure Surface Protect</x:v>
      </x:c>
      <x:c r="E17" s="28" t="str">
        <x:v>UAE-Marmorfassade sichtbar aufgewertet</x:v>
      </x:c>
      <x:c r="F17" s="28" t="str">
        <x:v>Praxisfoto</x:v>
      </x:c>
      <x:c r="G17" s="28" t="str">
        <x:v>Vorher-/Nachher-Dokumentation</x:v>
      </x:c>
      <x:c r="H17" s="28" t="str">
        <x:v>sichtbare optische Aufwertung im dokumentierten Referenzprojekt</x:v>
      </x:c>
      <x:c r="I17" s="28" t="str">
        <x:v>langfristiger Schutz ohne Nachmessung</x:v>
      </x:c>
      <x:c r="J17" s="28" t="str">
        <x:v>Objektbericht + Kundenbestätigung</x:v>
      </x:c>
      <x:c r="K17" s="28" t="str"/>
      <x:c r="L17" s="28" t="str"/>
      <x:c r="M17" s="28" t="str"/>
      <x:c r="N17" s="28" t="str">
        <x:v>REVIEW REQUIRED</x:v>
      </x:c>
      <x:c r="O17" s="28" t="str">
        <x:v>NOT STARTED</x:v>
      </x:c>
      <x:c r="P17" s="28" t="str">
        <x:v>NOT STARTED</x:v>
      </x:c>
      <x:c r="Q17" s="28" t="str"/>
      <x:c r="R17" s="28" t="str"/>
      <x:c r="S17" s="28" t="str">
        <x:v>IN REVIEW</x:v>
      </x:c>
      <x:c r="T17" s="28" t="str">
        <x:v>Imported from TIPMS V2.0; no automatic public approval.</x:v>
      </x:c>
    </x:row>
    <x:row r="18" ht="42" customHeight="1">
      <x:c r="A18" s="28" t="str">
        <x:v>CLM-014</x:v>
      </x:c>
      <x:c r="B18" s="28" t="str">
        <x:v>PF-WATER</x:v>
      </x:c>
      <x:c r="C18" s="28" t="str"/>
      <x:c r="D18" s="28" t="str">
        <x:v>Pure Water Protect</x:v>
      </x:c>
      <x:c r="E18" s="28" t="str">
        <x:v>biozidfrei</x:v>
      </x:c>
      <x:c r="F18" s="28" t="str">
        <x:v>positioniert/dokumentiert</x:v>
      </x:c>
      <x:c r="G18" s="28" t="str">
        <x:v>Produktunterlagen</x:v>
      </x:c>
      <x:c r="H18" s="28" t="str">
        <x:v>biozidfrei positionierte Easy-to-clean-Lösung</x:v>
      </x:c>
      <x:c r="I18" s="28" t="str">
        <x:v>Antifouling-Wirkgarantie</x:v>
      </x:c>
      <x:c r="J18" s="28" t="str">
        <x:v>Deklaration und regulatorische Abgrenzung absichern</x:v>
      </x:c>
      <x:c r="K18" s="28" t="str"/>
      <x:c r="L18" s="28" t="str"/>
      <x:c r="M18" s="28" t="str"/>
      <x:c r="N18" s="28" t="str">
        <x:v>REVIEW REQUIRED</x:v>
      </x:c>
      <x:c r="O18" s="28" t="str">
        <x:v>NOT STARTED</x:v>
      </x:c>
      <x:c r="P18" s="28" t="str">
        <x:v>NOT STARTED</x:v>
      </x:c>
      <x:c r="Q18" s="28" t="str"/>
      <x:c r="R18" s="28" t="str"/>
      <x:c r="S18" s="28" t="str">
        <x:v>IN REVIEW</x:v>
      </x:c>
      <x:c r="T18" s="28" t="str">
        <x:v>Imported from TIPMS V2.0; no automatic public approval.</x:v>
      </x:c>
    </x:row>
    <x:row r="19" ht="42" customHeight="1">
      <x:c r="A19" s="28" t="str">
        <x:v>CLM-015</x:v>
      </x:c>
      <x:c r="B19" s="28" t="str">
        <x:v>PF-WATER</x:v>
      </x:c>
      <x:c r="C19" s="28" t="str"/>
      <x:c r="D19" s="28" t="str">
        <x:v>Pure Water Protect</x:v>
      </x:c>
      <x:c r="E19" s="28" t="str">
        <x:v>Fouling- und Fuel-Reduktion</x:v>
      </x:c>
      <x:c r="F19" s="28" t="str">
        <x:v>plausibel/Praxis</x:v>
      </x:c>
      <x:c r="G19" s="28" t="str">
        <x:v>Oberflächenlogik und Anwendungen</x:v>
      </x:c>
      <x:c r="H19" s="28" t="str">
        <x:v>soll Anhaftung und Reinigung erleichtern</x:v>
      </x:c>
      <x:c r="I19" s="28" t="str">
        <x:v>garantierte Kraftstoffersparnis</x:v>
      </x:c>
      <x:c r="J19" s="28" t="str">
        <x:v>Saison- und Verbrauchsmessung</x:v>
      </x:c>
      <x:c r="K19" s="28" t="str"/>
      <x:c r="L19" s="28" t="str"/>
      <x:c r="M19" s="28" t="str"/>
      <x:c r="N19" s="28" t="str">
        <x:v>REVIEW REQUIRED</x:v>
      </x:c>
      <x:c r="O19" s="28" t="str">
        <x:v>NOT STARTED</x:v>
      </x:c>
      <x:c r="P19" s="28" t="str">
        <x:v>NOT STARTED</x:v>
      </x:c>
      <x:c r="Q19" s="28" t="str"/>
      <x:c r="R19" s="28" t="str"/>
      <x:c r="S19" s="28" t="str">
        <x:v>IN REVIEW</x:v>
      </x:c>
      <x:c r="T19" s="28" t="str">
        <x:v>Imported from TIPMS V2.0; no automatic public approval.</x:v>
      </x:c>
    </x:row>
    <x:row r="20" ht="42" customHeight="1">
      <x:c r="A20" s="28" t="str">
        <x:v>CLM-016</x:v>
      </x:c>
      <x:c r="B20" s="28" t="str">
        <x:v>PF-WOOD</x:v>
      </x:c>
      <x:c r="C20" s="28" t="str"/>
      <x:c r="D20" s="28" t="str">
        <x:v>Pure Wood Protect</x:v>
      </x:c>
      <x:c r="E20" s="28" t="str">
        <x:v>UV-/Witterungs- und Wasserabweisung</x:v>
      </x:c>
      <x:c r="F20" s="28" t="str">
        <x:v>plausibel</x:v>
      </x:c>
      <x:c r="G20" s="28" t="str">
        <x:v>Surface-Plattform und Anwendungskonzept</x:v>
      </x:c>
      <x:c r="H20" s="28" t="str">
        <x:v>objektbezogen zu prüfende Schutzwirkung</x:v>
      </x:c>
      <x:c r="I20" s="28" t="str">
        <x:v>pauschaler Holzschutz gegen Pilz/Algen</x:v>
      </x:c>
      <x:c r="J20" s="28" t="str">
        <x:v>Bewitterung je Holzart</x:v>
      </x:c>
      <x:c r="K20" s="28" t="str"/>
      <x:c r="L20" s="28" t="str"/>
      <x:c r="M20" s="28" t="str"/>
      <x:c r="N20" s="28" t="str">
        <x:v>REVIEW REQUIRED</x:v>
      </x:c>
      <x:c r="O20" s="28" t="str">
        <x:v>NOT STARTED</x:v>
      </x:c>
      <x:c r="P20" s="28" t="str">
        <x:v>NOT STARTED</x:v>
      </x:c>
      <x:c r="Q20" s="28" t="str"/>
      <x:c r="R20" s="28" t="str"/>
      <x:c r="S20" s="28" t="str">
        <x:v>IN REVIEW</x:v>
      </x:c>
      <x:c r="T20" s="28" t="str">
        <x:v>Imported from TIPMS V2.0; no automatic public approval.</x:v>
      </x:c>
    </x:row>
    <x:row r="21" ht="42" customHeight="1">
      <x:c r="A21" s="28" t="str">
        <x:v>CLM-017</x:v>
      </x:c>
      <x:c r="B21" s="28" t="str">
        <x:v>PF-THERMO</x:v>
      </x:c>
      <x:c r="C21" s="28" t="str"/>
      <x:c r="D21" s="28" t="str">
        <x:v>Pure Thermo</x:v>
      </x:c>
      <x:c r="E21" s="28" t="str">
        <x:v>3–30 mm statt 80–200 mm</x:v>
      </x:c>
      <x:c r="F21" s="28" t="str">
        <x:v>Marketing-/Systemvergleich</x:v>
      </x:c>
      <x:c r="G21" s="28" t="str">
        <x:v>Master Deck</x:v>
      </x:c>
      <x:c r="H21" s="28" t="str">
        <x:v>geringe Aufbauhöhe für spezielle Sanierungsfälle</x:v>
      </x:c>
      <x:c r="I21" s="28" t="str">
        <x:v>gleichwertiger Ersatz jedes WDVS bei beliebiger Dicke</x:v>
      </x:c>
      <x:c r="J21" s="28" t="str">
        <x:v>U-Wert-/Systemnachweis je Objekt</x:v>
      </x:c>
      <x:c r="K21" s="28" t="str"/>
      <x:c r="L21" s="28" t="str"/>
      <x:c r="M21" s="28" t="str"/>
      <x:c r="N21" s="28" t="str">
        <x:v>REVIEW REQUIRED</x:v>
      </x:c>
      <x:c r="O21" s="28" t="str">
        <x:v>NOT STARTED</x:v>
      </x:c>
      <x:c r="P21" s="28" t="str">
        <x:v>NOT STARTED</x:v>
      </x:c>
      <x:c r="Q21" s="28" t="str"/>
      <x:c r="R21" s="28" t="str"/>
      <x:c r="S21" s="28" t="str">
        <x:v>IN REVIEW</x:v>
      </x:c>
      <x:c r="T21" s="28" t="str">
        <x:v>Imported from TIPMS V2.0; no automatic public approval.</x:v>
      </x:c>
    </x:row>
    <x:row r="22" ht="42" customHeight="1">
      <x:c r="A22" s="28" t="str">
        <x:v>CLM-018</x:v>
      </x:c>
      <x:c r="B22" s="28" t="str">
        <x:v>PF-THERMO</x:v>
      </x:c>
      <x:c r="C22" s="28" t="str"/>
      <x:c r="D22" s="28" t="str">
        <x:v>Pure Thermo</x:v>
      </x:c>
      <x:c r="E22" s="28" t="str">
        <x:v>2–3 Jahre Payback / 30–45 % Energieeffekt</x:v>
      </x:c>
      <x:c r="F22" s="28" t="str">
        <x:v>indikatives Modell</x:v>
      </x:c>
      <x:c r="G22" s="28" t="str">
        <x:v>Master Deck</x:v>
      </x:c>
      <x:c r="H22" s="28" t="str">
        <x:v>indikatives Beispielmodell, projektspezifisch zu validieren</x:v>
      </x:c>
      <x:c r="I22" s="28" t="str">
        <x:v>allgemeines Einsparversprechen</x:v>
      </x:c>
      <x:c r="J22" s="28" t="str">
        <x:v>Pilotmonitoring + belastbare Wirtschaftlichkeitsrechnung</x:v>
      </x:c>
      <x:c r="K22" s="28" t="str"/>
      <x:c r="L22" s="28" t="str"/>
      <x:c r="M22" s="28" t="str"/>
      <x:c r="N22" s="28" t="str">
        <x:v>REVIEW REQUIRED</x:v>
      </x:c>
      <x:c r="O22" s="28" t="str">
        <x:v>NOT STARTED</x:v>
      </x:c>
      <x:c r="P22" s="28" t="str">
        <x:v>NOT STARTED</x:v>
      </x:c>
      <x:c r="Q22" s="28" t="str"/>
      <x:c r="R22" s="28" t="str"/>
      <x:c r="S22" s="28" t="str">
        <x:v>IN REVIEW</x:v>
      </x:c>
      <x:c r="T22" s="28" t="str">
        <x:v>Imported from TIPMS V2.0; no automatic public approval.</x:v>
      </x:c>
    </x:row>
    <x:row r="23" ht="42" customHeight="1">
      <x:c r="A23" s="28" t="str">
        <x:v>CLM-019</x:v>
      </x:c>
      <x:c r="B23" s="28" t="str">
        <x:v>PF-THERMO</x:v>
      </x:c>
      <x:c r="C23" s="28" t="str"/>
      <x:c r="D23" s="28" t="str">
        <x:v>Pure Thermo</x:v>
      </x:c>
      <x:c r="E23" s="28" t="str">
        <x:v>nahezu 100 % Kondensationsreduktion</x:v>
      </x:c>
      <x:c r="F23" s="28" t="str">
        <x:v>Vergleichstest/Herstellerclaim</x:v>
      </x:c>
      <x:c r="G23" s="28" t="str">
        <x:v>Master Deck</x:v>
      </x:c>
      <x:c r="H23" s="28" t="str">
        <x:v>im beschriebenen Vergleichstest keine sichtbare Feuchte</x:v>
      </x:c>
      <x:c r="I23" s="28" t="str">
        <x:v>allgemein 100 % Kondensationsvermeidung</x:v>
      </x:c>
      <x:c r="J23" s="28" t="str">
        <x:v>externe Kondensations-/Feuchteprüfung</x:v>
      </x:c>
      <x:c r="K23" s="28" t="str"/>
      <x:c r="L23" s="28" t="str"/>
      <x:c r="M23" s="28" t="str"/>
      <x:c r="N23" s="28" t="str">
        <x:v>REVIEW REQUIRED</x:v>
      </x:c>
      <x:c r="O23" s="28" t="str">
        <x:v>NOT STARTED</x:v>
      </x:c>
      <x:c r="P23" s="28" t="str">
        <x:v>NOT STARTED</x:v>
      </x:c>
      <x:c r="Q23" s="28" t="str"/>
      <x:c r="R23" s="28" t="str"/>
      <x:c r="S23" s="28" t="str">
        <x:v>IN REVIEW</x:v>
      </x:c>
      <x:c r="T23" s="28" t="str">
        <x:v>Imported from TIPMS V2.0; no automatic public approval.</x:v>
      </x:c>
    </x:row>
    <x:row r="24" ht="42" customHeight="1">
      <x:c r="A24" s="28" t="str">
        <x:v>CLM-020</x:v>
      </x:c>
      <x:c r="B24" s="28" t="str">
        <x:v>PF-THERMO</x:v>
      </x:c>
      <x:c r="C24" s="28" t="str"/>
      <x:c r="D24" s="28" t="str">
        <x:v>Pure Thermo</x:v>
      </x:c>
      <x:c r="E24" s="28" t="str">
        <x:v>30–45 % Energieeinsparung</x:v>
      </x:c>
      <x:c r="F24" s="28" t="str">
        <x:v>nicht allgemein belegt</x:v>
      </x:c>
      <x:c r="G24" s="28" t="str">
        <x:v>Altbau-/Businessplan-Präsentation</x:v>
      </x:c>
      <x:c r="H24" s="28" t="str">
        <x:v>nur als objektspezifisches Modell oder Pilotannahme verwenden</x:v>
      </x:c>
      <x:c r="I24" s="28" t="str">
        <x:v>pauschales Einsparversprechen</x:v>
      </x:c>
      <x:c r="J24" s="28" t="str">
        <x:v>Monitoring und Gebäudeenergiemodell</x:v>
      </x:c>
      <x:c r="K24" s="28" t="str"/>
      <x:c r="L24" s="28" t="str"/>
      <x:c r="M24" s="28" t="str"/>
      <x:c r="N24" s="28" t="str">
        <x:v>REVIEW REQUIRED</x:v>
      </x:c>
      <x:c r="O24" s="28" t="str">
        <x:v>NOT STARTED</x:v>
      </x:c>
      <x:c r="P24" s="28" t="str">
        <x:v>NOT STARTED</x:v>
      </x:c>
      <x:c r="Q24" s="28" t="str"/>
      <x:c r="R24" s="28" t="str"/>
      <x:c r="S24" s="28" t="str">
        <x:v>IN REVIEW</x:v>
      </x:c>
      <x:c r="T24" s="28" t="str">
        <x:v>Imported from TIPMS V2.0; no automatic public approval.</x:v>
      </x:c>
    </x:row>
    <x:row r="25" ht="42" customHeight="1">
      <x:c r="A25" s="28" t="str">
        <x:v>CLM-021</x:v>
      </x:c>
      <x:c r="B25" s="28" t="str">
        <x:v>PF-THERMO</x:v>
      </x:c>
      <x:c r="C25" s="28" t="str"/>
      <x:c r="D25" s="28" t="str">
        <x:v>Pure Thermo</x:v>
      </x:c>
      <x:c r="E25" s="28" t="str">
        <x:v>10 mm reduzieren Wandverlust um 23–30 %</x:v>
      </x:c>
      <x:c r="F25" s="28" t="str">
        <x:v>modellabhängig</x:v>
      </x:c>
      <x:c r="G25" s="28" t="str">
        <x:v>Altbau-Präsentation</x:v>
      </x:c>
      <x:c r="H25" s="28" t="str">
        <x:v>nur für klar definierten Wandaufbau und Rechenweg ausweisen</x:v>
      </x:c>
      <x:c r="I25" s="28" t="str">
        <x:v>allgemeine Gebäudeeinsparung</x:v>
      </x:c>
      <x:c r="J25" s="28" t="str">
        <x:v>Rechenmodell dokumentieren und vom EEE prüfen lassen</x:v>
      </x:c>
      <x:c r="K25" s="28" t="str"/>
      <x:c r="L25" s="28" t="str"/>
      <x:c r="M25" s="28" t="str"/>
      <x:c r="N25" s="28" t="str">
        <x:v>REVIEW REQUIRED</x:v>
      </x:c>
      <x:c r="O25" s="28" t="str">
        <x:v>NOT STARTED</x:v>
      </x:c>
      <x:c r="P25" s="28" t="str">
        <x:v>NOT STARTED</x:v>
      </x:c>
      <x:c r="Q25" s="28" t="str"/>
      <x:c r="R25" s="28" t="str"/>
      <x:c r="S25" s="28" t="str">
        <x:v>IN REVIEW</x:v>
      </x:c>
      <x:c r="T25" s="28" t="str">
        <x:v>Imported from TIPMS V2.0; no automatic public approval.</x:v>
      </x:c>
    </x:row>
    <x:row r="26" ht="42" customHeight="1">
      <x:c r="A26" s="28" t="str">
        <x:v>CLM-022</x:v>
      </x:c>
      <x:c r="B26" s="28" t="str">
        <x:v>PF-THERMO</x:v>
      </x:c>
      <x:c r="C26" s="28" t="str"/>
      <x:c r="D26" s="28" t="str">
        <x:v>Pure Thermo</x:v>
      </x:c>
      <x:c r="E26" s="28" t="str">
        <x:v>10 mm innen + 10 mm außen reduzieren 39–53 %</x:v>
      </x:c>
      <x:c r="F26" s="28" t="str">
        <x:v>modellabhängig</x:v>
      </x:c>
      <x:c r="G26" s="28" t="str">
        <x:v>Altbau-Präsentation</x:v>
      </x:c>
      <x:c r="H26" s="28" t="str">
        <x:v>nur bauteilbezogen und mit Ausgangs-U-Wert verwenden</x:v>
      </x:c>
      <x:c r="I26" s="28" t="str">
        <x:v>pauschaler Altbauclaim</x:v>
      </x:c>
      <x:c r="J26" s="28" t="str">
        <x:v>objektspezifische U-Wert-/Feuchteberechnung</x:v>
      </x:c>
      <x:c r="K26" s="28" t="str"/>
      <x:c r="L26" s="28" t="str"/>
      <x:c r="M26" s="28" t="str"/>
      <x:c r="N26" s="28" t="str">
        <x:v>REVIEW REQUIRED</x:v>
      </x:c>
      <x:c r="O26" s="28" t="str">
        <x:v>NOT STARTED</x:v>
      </x:c>
      <x:c r="P26" s="28" t="str">
        <x:v>NOT STARTED</x:v>
      </x:c>
      <x:c r="Q26" s="28" t="str"/>
      <x:c r="R26" s="28" t="str"/>
      <x:c r="S26" s="28" t="str">
        <x:v>IN REVIEW</x:v>
      </x:c>
      <x:c r="T26" s="28" t="str">
        <x:v>Imported from TIPMS V2.0; no automatic public approval.</x:v>
      </x:c>
    </x:row>
    <x:row r="27" ht="42" customHeight="1">
      <x:c r="A27" s="28" t="str">
        <x:v>CLM-023</x:v>
      </x:c>
      <x:c r="B27" s="28" t="str">
        <x:v>PF-THERMO</x:v>
      </x:c>
      <x:c r="C27" s="28" t="str">
        <x:v>SYS-PT-FIRE</x:v>
      </x:c>
      <x:c r="D27" s="28" t="str">
        <x:v>Pure Thermo + Pure Fire</x:v>
      </x:c>
      <x:c r="E27" s="28" t="str">
        <x:v>B-s1,d0 für Kombinationssystem</x:v>
      </x:c>
      <x:c r="F27" s="28" t="str">
        <x:v>nicht belegt</x:v>
      </x:c>
      <x:c r="G27" s="28" t="str">
        <x:v>separate Einzelprüfungen</x:v>
      </x:c>
      <x:c r="H27" s="28" t="str">
        <x:v>Kombination technisch plausibel; Klassifizierung nach vollständiger Systemprüfung offen</x:v>
      </x:c>
      <x:c r="I27" s="28" t="str">
        <x:v>B-s1,d0 als bestehende Kombinationsklasse</x:v>
      </x:c>
      <x:c r="J27" s="28" t="str">
        <x:v>vollständige SBI-Serie + Klassifizierungsbericht</x:v>
      </x:c>
      <x:c r="K27" s="28" t="str"/>
      <x:c r="L27" s="28" t="str"/>
      <x:c r="M27" s="28" t="str"/>
      <x:c r="N27" s="28" t="str">
        <x:v>REVIEW REQUIRED</x:v>
      </x:c>
      <x:c r="O27" s="28" t="str">
        <x:v>NOT STARTED</x:v>
      </x:c>
      <x:c r="P27" s="28" t="str">
        <x:v>NOT STARTED</x:v>
      </x:c>
      <x:c r="Q27" s="28" t="str"/>
      <x:c r="R27" s="28" t="str"/>
      <x:c r="S27" s="28" t="str">
        <x:v>IN REVIEW</x:v>
      </x:c>
      <x:c r="T27" s="28" t="str">
        <x:v>Imported from TIPMS V2.0; no automatic public approval.</x:v>
      </x:c>
    </x:row>
    <x:row r="28" ht="42" customHeight="1">
      <x:c r="A28" s="28" t="str">
        <x:v>CLM-024</x:v>
      </x:c>
      <x:c r="B28" s="28" t="str">
        <x:v>PF-THERMO</x:v>
      </x:c>
      <x:c r="C28" s="28" t="str"/>
      <x:c r="D28" s="28" t="str">
        <x:v>Pure Thermo</x:v>
      </x:c>
      <x:c r="E28" s="28" t="str">
        <x:v>genehmigungsfähig und skalierbar</x:v>
      </x:c>
      <x:c r="F28" s="28" t="str">
        <x:v>nicht pauschal belegt</x:v>
      </x:c>
      <x:c r="G28" s="28" t="str">
        <x:v>Altbau-Präsentation</x:v>
      </x:c>
      <x:c r="H28" s="28" t="str">
        <x:v>Markteinführung mit Prüf- und Zulassungsroadmap vorgesehen</x:v>
      </x:c>
      <x:c r="I28" s="28" t="str">
        <x:v>pauschale Genehmigungsfähigkeit</x:v>
      </x:c>
      <x:c r="J28" s="28" t="str">
        <x:v>anwendungsbezogene regulatorische Bewertung</x:v>
      </x:c>
      <x:c r="K28" s="28" t="str"/>
      <x:c r="L28" s="28" t="str"/>
      <x:c r="M28" s="28" t="str"/>
      <x:c r="N28" s="28" t="str">
        <x:v>REVIEW REQUIRED</x:v>
      </x:c>
      <x:c r="O28" s="28" t="str">
        <x:v>NOT STARTED</x:v>
      </x:c>
      <x:c r="P28" s="28" t="str">
        <x:v>NOT STARTED</x:v>
      </x:c>
      <x:c r="Q28" s="28" t="str"/>
      <x:c r="R28" s="28" t="str"/>
      <x:c r="S28" s="28" t="str">
        <x:v>IN REVIEW</x:v>
      </x:c>
      <x:c r="T28" s="28" t="str">
        <x:v>Imported from TIPMS V2.0; no automatic public approval.</x:v>
      </x:c>
    </x:row>
    <x:row r="29" ht="42" customHeight="1">
      <x:c r="A29" s="28" t="str">
        <x:v>CLM-025</x:v>
      </x:c>
      <x:c r="B29" s="28" t="str">
        <x:v>PF-THERMO</x:v>
      </x:c>
      <x:c r="C29" s="28" t="str"/>
      <x:c r="D29" s="28" t="str">
        <x:v>Pure Thermo</x:v>
      </x:c>
      <x:c r="E29" s="28" t="str">
        <x:v>2–3 Jahre Payback</x:v>
      </x:c>
      <x:c r="F29" s="28" t="str">
        <x:v>indikatives Modell</x:v>
      </x:c>
      <x:c r="G29" s="28" t="str">
        <x:v>Altbau-/Businessplan-Präsentation</x:v>
      </x:c>
      <x:c r="H29" s="28" t="str">
        <x:v>nur als Beispielmodell mit Kosten- und Energieannahmen verwenden</x:v>
      </x:c>
      <x:c r="I29" s="28" t="str">
        <x:v>allgemeines Amortisationsversprechen</x:v>
      </x:c>
      <x:c r="J29" s="28" t="str">
        <x:v>TCO-/ROI-Modell je Zielsegment</x:v>
      </x:c>
      <x:c r="K29" s="28" t="str"/>
      <x:c r="L29" s="28" t="str"/>
      <x:c r="M29" s="28" t="str"/>
      <x:c r="N29" s="28" t="str">
        <x:v>REVIEW REQUIRED</x:v>
      </x:c>
      <x:c r="O29" s="28" t="str">
        <x:v>NOT STARTED</x:v>
      </x:c>
      <x:c r="P29" s="28" t="str">
        <x:v>NOT STARTED</x:v>
      </x:c>
      <x:c r="Q29" s="28" t="str"/>
      <x:c r="R29" s="28" t="str"/>
      <x:c r="S29" s="28" t="str">
        <x:v>IN REVIEW</x:v>
      </x:c>
      <x:c r="T29" s="28" t="str">
        <x:v>Imported from TIPMS V2.0; no automatic public approval.</x:v>
      </x:c>
    </x:row>
    <x:row r="30" ht="42" customHeight="1">
      <x:c r="A30" s="28" t="str">
        <x:v>CLM-026</x:v>
      </x:c>
      <x:c r="B30" s="28" t="str">
        <x:v>PF-THERMO</x:v>
      </x:c>
      <x:c r="C30" s="28" t="str"/>
      <x:c r="D30" s="28" t="str">
        <x:v>Pure Thermo</x:v>
      </x:c>
      <x:c r="E30" s="28" t="str">
        <x:v>als Wärmedämmstoff im Sinne DIN 4108-4</x:v>
      </x:c>
      <x:c r="F30" s="28" t="str">
        <x:v>nicht belegt / widersprüchlich</x:v>
      </x:c>
      <x:c r="G30" s="28" t="str">
        <x:v>Altbau-Präsentation enthält defensive Abgrenzung</x:v>
      </x:c>
      <x:c r="H30" s="28" t="str">
        <x:v>als thermische Funktionsbeschichtung bzw. Zusatzdämmung positionieren</x:v>
      </x:c>
      <x:c r="I30" s="28" t="str">
        <x:v>GEG-Erfüllung allein durch 10 mm behaupten</x:v>
      </x:c>
      <x:c r="J30" s="28" t="str">
        <x:v>EEE-/DIBt-/Bauverbands-Roadmap</x:v>
      </x:c>
      <x:c r="K30" s="28" t="str"/>
      <x:c r="L30" s="28" t="str"/>
      <x:c r="M30" s="28" t="str"/>
      <x:c r="N30" s="28" t="str">
        <x:v>REVIEW REQUIRED</x:v>
      </x:c>
      <x:c r="O30" s="28" t="str">
        <x:v>NOT STARTED</x:v>
      </x:c>
      <x:c r="P30" s="28" t="str">
        <x:v>NOT STARTED</x:v>
      </x:c>
      <x:c r="Q30" s="28" t="str"/>
      <x:c r="R30" s="28" t="str"/>
      <x:c r="S30" s="28" t="str">
        <x:v>IN REVIEW</x:v>
      </x:c>
      <x:c r="T30" s="28" t="str">
        <x:v>Imported from TIPMS V2.0; no automatic public approval.</x:v>
      </x:c>
    </x:row>
    <x:row r="31" ht="42" customHeight="1">
      <x:c r="A31" s="28" t="str">
        <x:v>CLM-027</x:v>
      </x:c>
      <x:c r="B31" s="28" t="str">
        <x:v>PF-BOAT</x:v>
      </x:c>
      <x:c r="C31" s="28" t="str"/>
      <x:c r="D31" s="28" t="str">
        <x:v>Pure Boat Protect</x:v>
      </x:c>
      <x:c r="E31" s="28" t="str">
        <x:v>bis 90 m²/L</x:v>
      </x:c>
      <x:c r="F31" s="28" t="str">
        <x:v>dokumentiert als Projektwert</x:v>
      </x:c>
      <x:c r="G31" s="28" t="str">
        <x:v>Marine-Unterlagen / Master Deck</x:v>
      </x:c>
      <x:c r="H31" s="28" t="str">
        <x:v>als typische anwendungsabhängige Flächenleistung formulieren</x:v>
      </x:c>
      <x:c r="I31" s="28" t="str">
        <x:v>garantierter Verbrauch auf jedem Untergrund</x:v>
      </x:c>
      <x:c r="J31" s="28" t="str">
        <x:v>Objektverbrauch je Yachtzone messen</x:v>
      </x:c>
      <x:c r="K31" s="28" t="str"/>
      <x:c r="L31" s="28" t="str"/>
      <x:c r="M31" s="28" t="str"/>
      <x:c r="N31" s="28" t="str">
        <x:v>REVIEW REQUIRED</x:v>
      </x:c>
      <x:c r="O31" s="28" t="str">
        <x:v>NOT STARTED</x:v>
      </x:c>
      <x:c r="P31" s="28" t="str">
        <x:v>NOT STARTED</x:v>
      </x:c>
      <x:c r="Q31" s="28" t="str"/>
      <x:c r="R31" s="28" t="str"/>
      <x:c r="S31" s="28" t="str">
        <x:v>IN REVIEW</x:v>
      </x:c>
      <x:c r="T31" s="28" t="str">
        <x:v>Imported from TIPMS V2.0; no automatic public approval.</x:v>
      </x:c>
    </x:row>
    <x:row r="32" ht="42" customHeight="1">
      <x:c r="A32" s="28" t="str">
        <x:v>CLM-028</x:v>
      </x:c>
      <x:c r="B32" s="28" t="str">
        <x:v>PF-BOAT</x:v>
      </x:c>
      <x:c r="C32" s="28" t="str"/>
      <x:c r="D32" s="28" t="str">
        <x:v>Pure Boat Protect</x:v>
      </x:c>
      <x:c r="E32" s="28" t="str">
        <x:v>bis 3 Jahre Haltbarkeit</x:v>
      </x:c>
      <x:c r="F32" s="28" t="str">
        <x:v>Hersteller-/Unterlagenangabe</x:v>
      </x:c>
      <x:c r="G32" s="28" t="str">
        <x:v>Marine-Unterlagen</x:v>
      </x:c>
      <x:c r="H32" s="28" t="str">
        <x:v>nur je Nutzung, Zone und Exposition formulieren</x:v>
      </x:c>
      <x:c r="I32" s="28" t="str">
        <x:v>pauschale 3-Jahres-Garantie</x:v>
      </x:c>
      <x:c r="J32" s="28" t="str">
        <x:v>Langzeitreferenzen je Substrat</x:v>
      </x:c>
      <x:c r="K32" s="28" t="str"/>
      <x:c r="L32" s="28" t="str"/>
      <x:c r="M32" s="28" t="str"/>
      <x:c r="N32" s="28" t="str">
        <x:v>REVIEW REQUIRED</x:v>
      </x:c>
      <x:c r="O32" s="28" t="str">
        <x:v>NOT STARTED</x:v>
      </x:c>
      <x:c r="P32" s="28" t="str">
        <x:v>NOT STARTED</x:v>
      </x:c>
      <x:c r="Q32" s="28" t="str"/>
      <x:c r="R32" s="28" t="str"/>
      <x:c r="S32" s="28" t="str">
        <x:v>IN REVIEW</x:v>
      </x:c>
      <x:c r="T32" s="28" t="str">
        <x:v>Imported from TIPMS V2.0; no automatic public approval.</x:v>
      </x:c>
    </x:row>
    <x:row r="33" ht="42" customHeight="1">
      <x:c r="A33" s="28" t="str">
        <x:v>CLM-029</x:v>
      </x:c>
      <x:c r="B33" s="28" t="str">
        <x:v>PF-BOAT</x:v>
      </x:c>
      <x:c r="C33" s="28" t="str"/>
      <x:c r="D33" s="28" t="str">
        <x:v>Pure Boat Protect</x:v>
      </x:c>
      <x:c r="E33" s="28" t="str">
        <x:v>Sikaflex-kompatibel</x:v>
      </x:c>
      <x:c r="F33" s="28" t="str">
        <x:v>Dokumenthinweis</x:v>
      </x:c>
      <x:c r="G33" s="28" t="str">
        <x:v>Marine-Unterlage</x:v>
      </x:c>
      <x:c r="H33" s="28" t="str">
        <x:v>nur nach Musterfläche und Herstellerfreigabe</x:v>
      </x:c>
      <x:c r="I33" s="28" t="str">
        <x:v>universelle Kompatibilität</x:v>
      </x:c>
      <x:c r="J33" s="28" t="str">
        <x:v>Zonen-/Haftungsprüfung</x:v>
      </x:c>
      <x:c r="K33" s="28" t="str"/>
      <x:c r="L33" s="28" t="str"/>
      <x:c r="M33" s="28" t="str"/>
      <x:c r="N33" s="28" t="str">
        <x:v>REVIEW REQUIRED</x:v>
      </x:c>
      <x:c r="O33" s="28" t="str">
        <x:v>NOT STARTED</x:v>
      </x:c>
      <x:c r="P33" s="28" t="str">
        <x:v>NOT STARTED</x:v>
      </x:c>
      <x:c r="Q33" s="28" t="str"/>
      <x:c r="R33" s="28" t="str"/>
      <x:c r="S33" s="28" t="str">
        <x:v>IN REVIEW</x:v>
      </x:c>
      <x:c r="T33" s="28" t="str">
        <x:v>Imported from TIPMS V2.0; no automatic public approval.</x:v>
      </x:c>
    </x:row>
    <x:row r="34" ht="42" customHeight="1">
      <x:c r="A34" s="28" t="str">
        <x:v>CLM-030</x:v>
      </x:c>
      <x:c r="B34" s="28" t="str">
        <x:v>PF-LHEAT</x:v>
      </x:c>
      <x:c r="C34" s="28"/>
      <x:c r="D34" s="28" t="str">
        <x:v>Pure Liquid Heat</x:v>
      </x:c>
      <x:c r="E34" s="28" t="str">
        <x:v>gleichmäßige Heizfläche</x:v>
      </x:c>
      <x:c r="F34" s="28" t="str">
        <x:v>intern beobachtet</x:v>
      </x:c>
      <x:c r="G34" s="28" t="str">
        <x:v>Widerstands-/Temperaturtests; siehe CLM-001</x:v>
      </x:c>
      <x:c r="H34" s="28" t="str">
        <x:v>interne Beobachtung bei definiertem Aufbau</x:v>
      </x:c>
      <x:c r="I34" s="28" t="str">
        <x:v>garantiert gleichmäßig ohne Temperaturmapping</x:v>
      </x:c>
      <x:c r="J34" s="28" t="str">
        <x:v>externe Messreihe</x:v>
      </x:c>
      <x:c r="K34" s="28" t="str">
        <x:v>B</x:v>
      </x:c>
      <x:c r="L34" s="28" t="str">
        <x:v>Defined test build-up</x:v>
      </x:c>
      <x:c r="M34" s="28" t="str">
        <x:v>Duplicate/narrow variant of CLM-001</x:v>
      </x:c>
      <x:c r="N34" s="28" t="str">
        <x:v>REVIEW REQUIRED</x:v>
      </x:c>
      <x:c r="O34" s="28" t="str">
        <x:v>IN REVIEW</x:v>
      </x:c>
      <x:c r="P34" s="28" t="str">
        <x:v>N/A</x:v>
      </x:c>
      <x:c r="Q34" s="28"/>
      <x:c r="R34" s="28" t="str">
        <x:v>SRC-010</x:v>
      </x:c>
      <x:c r="S34" s="28" t="str">
        <x:v>IN REVIEW</x:v>
      </x:c>
      <x:c r="T34" s="28" t="str">
        <x:v>Retained for TIPMS traceability; merge logic with CLM-001.</x:v>
      </x:c>
    </x:row>
    <x:row r="35" ht="42" customHeight="1">
      <x:c r="A35" s="28" t="str">
        <x:v>CLM-031</x:v>
      </x:c>
      <x:c r="B35" s="28" t="str">
        <x:v>PF-LHEAT</x:v>
      </x:c>
      <x:c r="C35" s="28"/>
      <x:c r="D35" s="28" t="str">
        <x:v>Pure Liquid Heat</x:v>
      </x:c>
      <x:c r="E35" s="28" t="str">
        <x:v>90 °C Dauerlauf</x:v>
      </x:c>
      <x:c r="F35" s="28" t="str">
        <x:v>intern</x:v>
      </x:c>
      <x:c r="G35" s="28" t="str">
        <x:v>Portugal/GFB-Referenz; siehe CLM-002</x:v>
      </x:c>
      <x:c r="H35" s="28" t="str">
        <x:v>interne Langzeit-/Praxisreferenz bei ca. 90 °C</x:v>
      </x:c>
      <x:c r="I35" s="28" t="str">
        <x:v>zertifizierter Dauerbetrieb</x:v>
      </x:c>
      <x:c r="J35" s="28" t="str">
        <x:v>1.000/5.000/10.000-h-Test</x:v>
      </x:c>
      <x:c r="K35" s="28" t="str">
        <x:v>B</x:v>
      </x:c>
      <x:c r="L35" s="28" t="str">
        <x:v>One GFB reference</x:v>
      </x:c>
      <x:c r="M35" s="28" t="str">
        <x:v>Duplicate/narrow variant of CLM-002</x:v>
      </x:c>
      <x:c r="N35" s="28" t="str">
        <x:v>REVIEW REQUIRED</x:v>
      </x:c>
      <x:c r="O35" s="28" t="str">
        <x:v>IN REVIEW</x:v>
      </x:c>
      <x:c r="P35" s="28" t="str">
        <x:v>N/A</x:v>
      </x:c>
      <x:c r="Q35" s="28"/>
      <x:c r="R35" s="28" t="str">
        <x:v>SRC-031</x:v>
      </x:c>
      <x:c r="S35" s="28" t="str">
        <x:v>IN REVIEW</x:v>
      </x:c>
      <x:c r="T35" s="28" t="str">
        <x:v>Retained for TIPMS traceability; merge logic with CLM-002.</x:v>
      </x:c>
    </x:row>
    <x:row r="36" ht="42" customHeight="1">
      <x:c r="A36" s="28" t="str">
        <x:v>CLM-032</x:v>
      </x:c>
      <x:c r="B36" s="28" t="str">
        <x:v>PF-LHEAT</x:v>
      </x:c>
      <x:c r="C36" s="28"/>
      <x:c r="D36" s="28" t="str">
        <x:v>Pure Liquid Heat</x:v>
      </x:c>
      <x:c r="E36" s="28" t="str">
        <x:v>Outdoor nutzbar</x:v>
      </x:c>
      <x:c r="F36" s="28" t="str">
        <x:v>systemabhängig</x:v>
      </x:c>
      <x:c r="G36" s="28" t="str">
        <x:v>Topcoat- und IP-Konzept; SRC-032/SRC-010</x:v>
      </x:c>
      <x:c r="H36" s="28" t="str">
        <x:v>Outdoor-Anwendungen sind für definierte Systeme mit anwendungsbezogenem Schutz- und IP-Konzept vorgesehen</x:v>
      </x:c>
      <x:c r="I36" s="28" t="str">
        <x:v>allgemein witterungsbeständig / IP44 zertifiziert</x:v>
      </x:c>
      <x:c r="J36" s="28" t="str">
        <x:v>IP/UV/Frost-Tau/Feuchteprüfung je Outdoor-System</x:v>
      </x:c>
      <x:c r="K36" s="28" t="str">
        <x:v>B</x:v>
      </x:c>
      <x:c r="L36" s="28" t="str">
        <x:v>Defined outdoor system</x:v>
      </x:c>
      <x:c r="M36" s="28" t="str">
        <x:v>Outdoor use not yet generic approval</x:v>
      </x:c>
      <x:c r="N36" s="28" t="str">
        <x:v>WITH QUALIFICATION</x:v>
      </x:c>
      <x:c r="O36" s="28" t="str">
        <x:v>IN REVIEW</x:v>
      </x:c>
      <x:c r="P36" s="28" t="str">
        <x:v>IN REVIEW</x:v>
      </x:c>
      <x:c r="Q36" s="28" t="str">
        <x:v>/pure-liquid-heat</x:v>
      </x:c>
      <x:c r="R36" s="28" t="str">
        <x:v>SRC-032</x:v>
      </x:c>
      <x:c r="S36" s="28" t="str">
        <x:v>IN REVIEW</x:v>
      </x:c>
      <x:c r="T36" s="28" t="str">
        <x:v>Do not imply existing IP certification.</x:v>
      </x:c>
    </x:row>
    <x:row r="37" ht="42" customHeight="1">
      <x:c r="A37" s="28" t="str">
        <x:v>CLM-033</x:v>
      </x:c>
      <x:c r="B37" s="28" t="str">
        <x:v>PF-T730</x:v>
      </x:c>
      <x:c r="C37" s="28" t="str"/>
      <x:c r="D37" s="28" t="str">
        <x:v>Pure Protect T 730</x:v>
      </x:c>
      <x:c r="E37" s="28" t="str">
        <x:v>&gt;99,99 % bakterielle Reduktion</x:v>
      </x:c>
      <x:c r="F37" s="28" t="str">
        <x:v>Testhinweis</x:v>
      </x:c>
      <x:c r="G37" s="28" t="str">
        <x:v>ISO 22196 laut Unterlagen</x:v>
      </x:c>
      <x:c r="H37" s="28" t="str">
        <x:v>nur unter definierten Laborbedingungen und für konkrete Rezeptur</x:v>
      </x:c>
      <x:c r="I37" s="28" t="str">
        <x:v>pauschale Infektionsprävention</x:v>
      </x:c>
      <x:c r="J37" s="28" t="str">
        <x:v>Originalberichte + BPR-Claimfreigabe</x:v>
      </x:c>
      <x:c r="K37" s="28" t="str"/>
      <x:c r="L37" s="28" t="str"/>
      <x:c r="M37" s="28" t="str"/>
      <x:c r="N37" s="28" t="str">
        <x:v>REVIEW REQUIRED</x:v>
      </x:c>
      <x:c r="O37" s="28" t="str">
        <x:v>NOT STARTED</x:v>
      </x:c>
      <x:c r="P37" s="28" t="str">
        <x:v>NOT STARTED</x:v>
      </x:c>
      <x:c r="Q37" s="28" t="str"/>
      <x:c r="R37" s="28" t="str"/>
      <x:c r="S37" s="28" t="str">
        <x:v>IN REVIEW</x:v>
      </x:c>
      <x:c r="T37" s="28" t="str">
        <x:v>Imported from TIPMS V2.0; no automatic public approval.</x:v>
      </x:c>
    </x:row>
    <x:row r="38" ht="42" customHeight="1">
      <x:c r="A38" s="28" t="str">
        <x:v>CLM-034</x:v>
      </x:c>
      <x:c r="B38" s="28" t="str">
        <x:v>PF-T730</x:v>
      </x:c>
      <x:c r="C38" s="28" t="str"/>
      <x:c r="D38" s="28" t="str">
        <x:v>Pure Protect T 730</x:v>
      </x:c>
      <x:c r="E38" s="28" t="str">
        <x:v>&gt;99,98 % virale Reduktion</x:v>
      </x:c>
      <x:c r="F38" s="28" t="str">
        <x:v>Testhinweis</x:v>
      </x:c>
      <x:c r="G38" s="28" t="str">
        <x:v>ISO 21702 / EUROVIR laut Unterlagen</x:v>
      </x:c>
      <x:c r="H38" s="28" t="str">
        <x:v>virus-, zeit-, untergrund- und rezepturbezogen formulieren</x:v>
      </x:c>
      <x:c r="I38" s="28" t="str">
        <x:v>universell antiviral</x:v>
      </x:c>
      <x:c r="J38" s="28" t="str">
        <x:v>Originalbericht + regulatorische Bewertung</x:v>
      </x:c>
      <x:c r="K38" s="28" t="str"/>
      <x:c r="L38" s="28" t="str"/>
      <x:c r="M38" s="28" t="str"/>
      <x:c r="N38" s="28" t="str">
        <x:v>REVIEW REQUIRED</x:v>
      </x:c>
      <x:c r="O38" s="28" t="str">
        <x:v>NOT STARTED</x:v>
      </x:c>
      <x:c r="P38" s="28" t="str">
        <x:v>NOT STARTED</x:v>
      </x:c>
      <x:c r="Q38" s="28" t="str"/>
      <x:c r="R38" s="28" t="str"/>
      <x:c r="S38" s="28" t="str">
        <x:v>IN REVIEW</x:v>
      </x:c>
      <x:c r="T38" s="28" t="str">
        <x:v>Imported from TIPMS V2.0; no automatic public approval.</x:v>
      </x:c>
    </x:row>
    <x:row r="39" ht="42" customHeight="1">
      <x:c r="A39" s="28" t="str">
        <x:v>CLM-035</x:v>
      </x:c>
      <x:c r="B39" s="28" t="str">
        <x:v>PF-T730</x:v>
      </x:c>
      <x:c r="C39" s="28" t="str"/>
      <x:c r="D39" s="28" t="str">
        <x:v>Pure Protect T 730</x:v>
      </x:c>
      <x:c r="E39" s="28" t="str">
        <x:v>12 Monate Schutz</x:v>
      </x:c>
      <x:c r="F39" s="28" t="str">
        <x:v>Herstellerangabe</x:v>
      </x:c>
      <x:c r="G39" s="28" t="str">
        <x:v>technische Unterlage</x:v>
      </x:c>
      <x:c r="H39" s="28" t="str">
        <x:v>projektspezifisch und unter definierten Pflegebedingungen</x:v>
      </x:c>
      <x:c r="I39" s="28" t="str">
        <x:v>generelle 12-Monats-Garantie</x:v>
      </x:c>
      <x:c r="J39" s="28" t="str">
        <x:v>Objektmonitoring</x:v>
      </x:c>
      <x:c r="K39" s="28" t="str"/>
      <x:c r="L39" s="28" t="str"/>
      <x:c r="M39" s="28" t="str"/>
      <x:c r="N39" s="28" t="str">
        <x:v>REVIEW REQUIRED</x:v>
      </x:c>
      <x:c r="O39" s="28" t="str">
        <x:v>NOT STARTED</x:v>
      </x:c>
      <x:c r="P39" s="28" t="str">
        <x:v>NOT STARTED</x:v>
      </x:c>
      <x:c r="Q39" s="28" t="str"/>
      <x:c r="R39" s="28" t="str"/>
      <x:c r="S39" s="28" t="str">
        <x:v>IN REVIEW</x:v>
      </x:c>
      <x:c r="T39" s="28" t="str">
        <x:v>Imported from TIPMS V2.0; no automatic public approval.</x:v>
      </x:c>
    </x:row>
    <x:row r="40" ht="42" customHeight="1">
      <x:c r="A40" s="28" t="str">
        <x:v>CLM-036</x:v>
      </x:c>
      <x:c r="B40" s="28" t="str">
        <x:v>PF-SURFACE</x:v>
      </x:c>
      <x:c r="C40" s="28" t="str"/>
      <x:c r="D40" s="28" t="str">
        <x:v>Pure Surface Protect</x:v>
      </x:c>
      <x:c r="E40" s="28" t="str">
        <x:v>70–90 m²/L und 2–8 µm</x:v>
      </x:c>
      <x:c r="F40" s="28" t="str">
        <x:v>dokumentierter Projektwert</x:v>
      </x:c>
      <x:c r="G40" s="28" t="str">
        <x:v>Master Deck</x:v>
      </x:c>
      <x:c r="H40" s="28" t="str">
        <x:v>als typische anwendungsabhängige Kennwerte formulieren</x:v>
      </x:c>
      <x:c r="I40" s="28" t="str">
        <x:v>garantierte Universalwerte</x:v>
      </x:c>
      <x:c r="J40" s="28" t="str">
        <x:v>Projektverbrauch dokumentieren</x:v>
      </x:c>
      <x:c r="K40" s="28" t="str"/>
      <x:c r="L40" s="28" t="str"/>
      <x:c r="M40" s="28" t="str"/>
      <x:c r="N40" s="28" t="str">
        <x:v>REVIEW REQUIRED</x:v>
      </x:c>
      <x:c r="O40" s="28" t="str">
        <x:v>NOT STARTED</x:v>
      </x:c>
      <x:c r="P40" s="28" t="str">
        <x:v>NOT STARTED</x:v>
      </x:c>
      <x:c r="Q40" s="28" t="str"/>
      <x:c r="R40" s="28" t="str"/>
      <x:c r="S40" s="28" t="str">
        <x:v>IN REVIEW</x:v>
      </x:c>
      <x:c r="T40" s="28" t="str">
        <x:v>Imported from TIPMS V2.0; no automatic public approval.</x:v>
      </x:c>
    </x:row>
    <x:row r="41" ht="42" customHeight="1">
      <x:c r="A41" s="28" t="str">
        <x:v>CLM-037</x:v>
      </x:c>
      <x:c r="B41" s="28" t="str">
        <x:v>PF-SURFACE</x:v>
      </x:c>
      <x:c r="C41" s="28" t="str"/>
      <x:c r="D41" s="28" t="str">
        <x:v>Pure Surface Protect</x:v>
      </x:c>
      <x:c r="E41" s="28" t="str">
        <x:v>UV-/Witterungsschutz</x:v>
      </x:c>
      <x:c r="F41" s="28" t="str">
        <x:v>Praxis-/Technologiehinweis</x:v>
      </x:c>
      <x:c r="G41" s="28" t="str">
        <x:v>LANUV/Unterlagen</x:v>
      </x:c>
      <x:c r="H41" s="28" t="str">
        <x:v>anwendungsbezogen und mit Objektprüfung</x:v>
      </x:c>
      <x:c r="I41" s="28" t="str">
        <x:v>pauschale Langzeitgarantie</x:v>
      </x:c>
      <x:c r="J41" s="28" t="str">
        <x:v>Bewitterungs- und Langzeitdaten</x:v>
      </x:c>
      <x:c r="K41" s="28" t="str"/>
      <x:c r="L41" s="28" t="str"/>
      <x:c r="M41" s="28" t="str"/>
      <x:c r="N41" s="28" t="str">
        <x:v>REVIEW REQUIRED</x:v>
      </x:c>
      <x:c r="O41" s="28" t="str">
        <x:v>NOT STARTED</x:v>
      </x:c>
      <x:c r="P41" s="28" t="str">
        <x:v>NOT STARTED</x:v>
      </x:c>
      <x:c r="Q41" s="28" t="str"/>
      <x:c r="R41" s="28" t="str"/>
      <x:c r="S41" s="28" t="str">
        <x:v>IN REVIEW</x:v>
      </x:c>
      <x:c r="T41" s="28" t="str">
        <x:v>Imported from TIPMS V2.0; no automatic public approval.</x:v>
      </x:c>
    </x:row>
    <x:row r="42" ht="42" customHeight="1">
      <x:c r="A42" s="28" t="str">
        <x:v>CLM-038</x:v>
      </x:c>
      <x:c r="B42" s="28" t="str">
        <x:v>PF-SURFACE</x:v>
      </x:c>
      <x:c r="C42" s="28" t="str"/>
      <x:c r="D42" s="28" t="str">
        <x:v>Pure Surface Protect</x:v>
      </x:c>
      <x:c r="E42" s="28" t="str">
        <x:v>UAE-Fassade sichtbar aufgewertet</x:v>
      </x:c>
      <x:c r="F42" s="28" t="str">
        <x:v>Praxisfoto</x:v>
      </x:c>
      <x:c r="G42" s="28" t="str">
        <x:v>Vorher-/Nachher-Dokumentation</x:v>
      </x:c>
      <x:c r="H42" s="28" t="str">
        <x:v>sichtbare optische Aufwertung im dokumentierten Objekt</x:v>
      </x:c>
      <x:c r="I42" s="28" t="str">
        <x:v>langfristiger Schutz ohne Nachmessung</x:v>
      </x:c>
      <x:c r="J42" s="28" t="str">
        <x:v>vollständiges Referenzdossier</x:v>
      </x:c>
      <x:c r="K42" s="28" t="str"/>
      <x:c r="L42" s="28" t="str"/>
      <x:c r="M42" s="28" t="str"/>
      <x:c r="N42" s="28" t="str">
        <x:v>REVIEW REQUIRED</x:v>
      </x:c>
      <x:c r="O42" s="28" t="str">
        <x:v>NOT STARTED</x:v>
      </x:c>
      <x:c r="P42" s="28" t="str">
        <x:v>NOT STARTED</x:v>
      </x:c>
      <x:c r="Q42" s="28" t="str"/>
      <x:c r="R42" s="28" t="str"/>
      <x:c r="S42" s="28" t="str">
        <x:v>IN REVIEW</x:v>
      </x:c>
      <x:c r="T42" s="28" t="str">
        <x:v>Imported from TIPMS V2.0; no automatic public approval.</x:v>
      </x:c>
    </x:row>
    <x:row r="43" ht="42" customHeight="1">
      <x:c r="A43" s="28" t="str">
        <x:v>CLM-039</x:v>
      </x:c>
      <x:c r="B43" s="28" t="str">
        <x:v>PF-THERMO</x:v>
      </x:c>
      <x:c r="C43" s="28" t="str"/>
      <x:c r="D43" s="28" t="str">
        <x:v>Pure Thermo</x:v>
      </x:c>
      <x:c r="E43" s="28" t="str">
        <x:v>3–30 mm statt 80–200 mm</x:v>
      </x:c>
      <x:c r="F43" s="28" t="str">
        <x:v>Marketingvergleich / konzeptuell</x:v>
      </x:c>
      <x:c r="G43" s="28" t="str">
        <x:v>PureThermo Master Deck 2026</x:v>
      </x:c>
      <x:c r="H43" s="28" t="str">
        <x:v>nur als Aufbauhöhenvergleich für geeignete Sonderanwendungen verwenden</x:v>
      </x:c>
      <x:c r="I43" s="28" t="str">
        <x:v>gleichwertiger Universalersatz jedes WDVS</x:v>
      </x:c>
      <x:c r="J43" s="28" t="str">
        <x:v>objektbezogener U-/R-Wert- und Systemvergleich</x:v>
      </x:c>
      <x:c r="K43" s="28" t="str"/>
      <x:c r="L43" s="28" t="str"/>
      <x:c r="M43" s="28" t="str"/>
      <x:c r="N43" s="28" t="str">
        <x:v>REVIEW REQUIRED</x:v>
      </x:c>
      <x:c r="O43" s="28" t="str">
        <x:v>NOT STARTED</x:v>
      </x:c>
      <x:c r="P43" s="28" t="str">
        <x:v>NOT STARTED</x:v>
      </x:c>
      <x:c r="Q43" s="28" t="str"/>
      <x:c r="R43" s="28" t="str"/>
      <x:c r="S43" s="28" t="str">
        <x:v>IN REVIEW</x:v>
      </x:c>
      <x:c r="T43" s="28" t="str">
        <x:v>Imported from TIPMS V2.0; no automatic public approval.</x:v>
      </x:c>
    </x:row>
    <x:row r="44" ht="42" customHeight="1">
      <x:c r="A44" s="28" t="str">
        <x:v>CLM-040</x:v>
      </x:c>
      <x:c r="B44" s="28" t="str">
        <x:v>PF-THERMO</x:v>
      </x:c>
      <x:c r="C44" s="28" t="str"/>
      <x:c r="D44" s="28" t="str">
        <x:v>Pure Thermo</x:v>
      </x:c>
      <x:c r="E44" s="28" t="str">
        <x:v>nahezu 100 % Kondensationsreduzierung</x:v>
      </x:c>
      <x:c r="F44" s="28" t="str">
        <x:v>interner Vergleichstest</x:v>
      </x:c>
      <x:c r="G44" s="28" t="str">
        <x:v>PureThermo Master Deck 2026</x:v>
      </x:c>
      <x:c r="H44" s="28" t="str">
        <x:v>im beschriebenen internen Vergleich keine sichtbare Feuchte</x:v>
      </x:c>
      <x:c r="I44" s="28" t="str">
        <x:v>allgemeine 100-%-Kondensationsvermeidung</x:v>
      </x:c>
      <x:c r="J44" s="28" t="str">
        <x:v>externe Feuchte-/Kondensationsprüfung und Langzeit-Mock-up</x:v>
      </x:c>
      <x:c r="K44" s="28" t="str"/>
      <x:c r="L44" s="28" t="str"/>
      <x:c r="M44" s="28" t="str"/>
      <x:c r="N44" s="28" t="str">
        <x:v>REVIEW REQUIRED</x:v>
      </x:c>
      <x:c r="O44" s="28" t="str">
        <x:v>NOT STARTED</x:v>
      </x:c>
      <x:c r="P44" s="28" t="str">
        <x:v>NOT STARTED</x:v>
      </x:c>
      <x:c r="Q44" s="28" t="str"/>
      <x:c r="R44" s="28" t="str"/>
      <x:c r="S44" s="28" t="str">
        <x:v>IN REVIEW</x:v>
      </x:c>
      <x:c r="T44" s="28" t="str">
        <x:v>Imported from TIPMS V2.0; no automatic public approval.</x:v>
      </x:c>
    </x:row>
    <x:row r="45" ht="42" customHeight="1">
      <x:c r="A45" s="28" t="str">
        <x:v>CLM-041</x:v>
      </x:c>
      <x:c r="B45" s="28" t="str">
        <x:v>PF-THERMO</x:v>
      </x:c>
      <x:c r="C45" s="28" t="str"/>
      <x:c r="D45" s="28" t="str">
        <x:v>Pure Thermo</x:v>
      </x:c>
      <x:c r="E45" s="28" t="str">
        <x:v>Pure Fire Decklage B-s1,d0</x:v>
      </x:c>
      <x:c r="F45" s="28" t="str">
        <x:v>Produkt-/Systemhinweis, nicht Kombination</x:v>
      </x:c>
      <x:c r="G45" s="28" t="str">
        <x:v>PureThermo Master Deck 2026 + Kombinationsbericht</x:v>
      </x:c>
      <x:c r="H45" s="28" t="str">
        <x:v>Pure Fire kann als separate Brandschutzdecklage vorgesehen werden; Gesamtaufbau offen</x:v>
      </x:c>
      <x:c r="I45" s="28" t="str">
        <x:v>B-s1,d0 für PureThermo+PureFire-Kombination</x:v>
      </x:c>
      <x:c r="J45" s="28" t="str">
        <x:v>SBI-Gesamtaufbau und Klassifizierungsbericht</x:v>
      </x:c>
      <x:c r="K45" s="28" t="str"/>
      <x:c r="L45" s="28" t="str"/>
      <x:c r="M45" s="28" t="str"/>
      <x:c r="N45" s="28" t="str">
        <x:v>REVIEW REQUIRED</x:v>
      </x:c>
      <x:c r="O45" s="28" t="str">
        <x:v>NOT STARTED</x:v>
      </x:c>
      <x:c r="P45" s="28" t="str">
        <x:v>NOT STARTED</x:v>
      </x:c>
      <x:c r="Q45" s="28" t="str"/>
      <x:c r="R45" s="28" t="str"/>
      <x:c r="S45" s="28" t="str">
        <x:v>IN REVIEW</x:v>
      </x:c>
      <x:c r="T45" s="28" t="str">
        <x:v>Imported from TIPMS V2.0; no automatic public approval.</x:v>
      </x:c>
    </x:row>
    <x:row r="46" ht="42" customHeight="1">
      <x:c r="A46" s="28" t="str">
        <x:v>CLM-042</x:v>
      </x:c>
      <x:c r="B46" s="28" t="str">
        <x:v>PF-THERMO</x:v>
      </x:c>
      <x:c r="C46" s="28" t="str"/>
      <x:c r="D46" s="28" t="str">
        <x:v>Pure Thermo</x:v>
      </x:c>
      <x:c r="E46" s="28" t="str">
        <x:v>30–50 % IRR und ~8× Werthebel</x:v>
      </x:c>
      <x:c r="F46" s="28" t="str">
        <x:v>indikatives Finanzmodell</x:v>
      </x:c>
      <x:c r="G46" s="28" t="str">
        <x:v>PureThermo Master Deck 2026</x:v>
      </x:c>
      <x:c r="H46" s="28" t="str">
        <x:v>nur als Modellrechnung mit Annahmen und Sensitivitäten</x:v>
      </x:c>
      <x:c r="I46" s="28" t="str">
        <x:v>allgemeines Renditeversprechen</x:v>
      </x:c>
      <x:c r="J46" s="28" t="str">
        <x:v>vollständiges Finanzmodell mit Cap Rate, Energiepreis, Kosten, Förderung</x:v>
      </x:c>
      <x:c r="K46" s="28" t="str"/>
      <x:c r="L46" s="28" t="str"/>
      <x:c r="M46" s="28" t="str"/>
      <x:c r="N46" s="28" t="str">
        <x:v>REVIEW REQUIRED</x:v>
      </x:c>
      <x:c r="O46" s="28" t="str">
        <x:v>NOT STARTED</x:v>
      </x:c>
      <x:c r="P46" s="28" t="str">
        <x:v>NOT STARTED</x:v>
      </x:c>
      <x:c r="Q46" s="28" t="str"/>
      <x:c r="R46" s="28" t="str"/>
      <x:c r="S46" s="28" t="str">
        <x:v>IN REVIEW</x:v>
      </x:c>
      <x:c r="T46" s="28" t="str">
        <x:v>Imported from TIPMS V2.0; no automatic public approval.</x:v>
      </x:c>
    </x:row>
    <x:row r="47" ht="42" customHeight="1">
      <x:c r="A47" s="28" t="str">
        <x:v>CLM-043</x:v>
      </x:c>
      <x:c r="B47" s="28" t="str">
        <x:v>PF-THERMO</x:v>
      </x:c>
      <x:c r="C47" s="28" t="str"/>
      <x:c r="D47" s="28" t="str">
        <x:v>Pure Thermo</x:v>
      </x:c>
      <x:c r="E47" s="28" t="str">
        <x:v>30–45 % Energieeinsparung</x:v>
      </x:c>
      <x:c r="F47" s="28" t="str">
        <x:v>Zielgröße / Modellannahme</x:v>
      </x:c>
      <x:c r="G47" s="28" t="str">
        <x:v>PureThermo Master Deck 2026</x:v>
      </x:c>
      <x:c r="H47" s="28" t="str">
        <x:v>nur als projektspezifische Ziel-/Modellgröße</x:v>
      </x:c>
      <x:c r="I47" s="28" t="str">
        <x:v>allgemeine Einspargarantie</x:v>
      </x:c>
      <x:c r="J47" s="28" t="str">
        <x:v>Pilot über Heizperiode + Gebäudemodell</x:v>
      </x:c>
      <x:c r="K47" s="28" t="str"/>
      <x:c r="L47" s="28" t="str"/>
      <x:c r="M47" s="28" t="str"/>
      <x:c r="N47" s="28" t="str">
        <x:v>REVIEW REQUIRED</x:v>
      </x:c>
      <x:c r="O47" s="28" t="str">
        <x:v>NOT STARTED</x:v>
      </x:c>
      <x:c r="P47" s="28" t="str">
        <x:v>NOT STARTED</x:v>
      </x:c>
      <x:c r="Q47" s="28" t="str"/>
      <x:c r="R47" s="28" t="str"/>
      <x:c r="S47" s="28" t="str">
        <x:v>IN REVIEW</x:v>
      </x:c>
      <x:c r="T47" s="28" t="str">
        <x:v>Imported from TIPMS V2.0; no automatic public approval.</x:v>
      </x:c>
    </x:row>
    <x:row r="48" ht="42" customHeight="1">
      <x:c r="A48" s="28" t="str">
        <x:v>CLM-044</x:v>
      </x:c>
      <x:c r="B48" s="28" t="str">
        <x:v>PF-THERMO</x:v>
      </x:c>
      <x:c r="C48" s="28" t="str"/>
      <x:c r="D48" s="28" t="str">
        <x:v>Pure Thermo</x:v>
      </x:c>
      <x:c r="E48" s="28" t="str">
        <x:v>Schall- und Vibrationsdämpfung</x:v>
      </x:c>
      <x:c r="F48" s="28" t="str">
        <x:v>technisch plausibel</x:v>
      </x:c>
      <x:c r="G48" s="28" t="str">
        <x:v>Akustikkapitel im Masterdeck</x:v>
      </x:c>
      <x:c r="H48" s="28" t="str">
        <x:v>kann viskoelastisch zur Dämpfung beitragen; noch nicht quantifiziert</x:v>
      </x:c>
      <x:c r="I48" s="28" t="str">
        <x:v>feste dB-Werte oder Schalldämmklasse</x:v>
      </x:c>
      <x:c r="J48" s="28" t="str">
        <x:v>DIN EN ISO 10140 / 717 oder vergleichbare Prüfung</x:v>
      </x:c>
      <x:c r="K48" s="28" t="str"/>
      <x:c r="L48" s="28" t="str"/>
      <x:c r="M48" s="28" t="str"/>
      <x:c r="N48" s="28" t="str">
        <x:v>REVIEW REQUIRED</x:v>
      </x:c>
      <x:c r="O48" s="28" t="str">
        <x:v>NOT STARTED</x:v>
      </x:c>
      <x:c r="P48" s="28" t="str">
        <x:v>NOT STARTED</x:v>
      </x:c>
      <x:c r="Q48" s="28" t="str"/>
      <x:c r="R48" s="28" t="str"/>
      <x:c r="S48" s="28" t="str">
        <x:v>IN REVIEW</x:v>
      </x:c>
      <x:c r="T48" s="28" t="str">
        <x:v>Imported from TIPMS V2.0; no automatic public approval.</x:v>
      </x:c>
    </x:row>
    <x:row r="49" ht="42" customHeight="1">
      <x:c r="A49" s="28" t="str">
        <x:v>CLM-045</x:v>
      </x:c>
      <x:c r="B49" s="28" t="str">
        <x:v>PF-THERMO</x:v>
      </x:c>
      <x:c r="C49" s="28" t="str"/>
      <x:c r="D49" s="28" t="str">
        <x:v>Pure Thermo</x:v>
      </x:c>
      <x:c r="E49" s="28" t="str">
        <x:v>gute Voraussetzungen für Betonrecycling</x:v>
      </x:c>
      <x:c r="F49" s="28" t="str">
        <x:v>vorbewertet</x:v>
      </x:c>
      <x:c r="G49" s="28" t="str">
        <x:v>Circular-Economy-Kapitel</x:v>
      </x:c>
      <x:c r="H49" s="28" t="str">
        <x:v>als Rückbauhypothese und Prüfpfad formulieren</x:v>
      </x:c>
      <x:c r="I49" s="28" t="str">
        <x:v>gesicherte Recyclingfähigkeit</x:v>
      </x:c>
      <x:c r="J49" s="28" t="str">
        <x:v>Brechversuch, AVV-Einstufung, RC-Materialbewertung, LCA/EPD</x:v>
      </x:c>
      <x:c r="K49" s="28" t="str"/>
      <x:c r="L49" s="28" t="str"/>
      <x:c r="M49" s="28" t="str"/>
      <x:c r="N49" s="28" t="str">
        <x:v>REVIEW REQUIRED</x:v>
      </x:c>
      <x:c r="O49" s="28" t="str">
        <x:v>NOT STARTED</x:v>
      </x:c>
      <x:c r="P49" s="28" t="str">
        <x:v>NOT STARTED</x:v>
      </x:c>
      <x:c r="Q49" s="28" t="str"/>
      <x:c r="R49" s="28" t="str"/>
      <x:c r="S49" s="28" t="str">
        <x:v>IN REVIEW</x:v>
      </x:c>
      <x:c r="T49" s="28" t="str">
        <x:v>Imported from TIPMS V2.0; no automatic public approval.</x:v>
      </x:c>
    </x:row>
    <x:row r="50" ht="42" customHeight="1">
      <x:c r="A50" s="28" t="str">
        <x:v>CLM-046</x:v>
      </x:c>
      <x:c r="B50" s="28" t="str">
        <x:v>PF-WATER</x:v>
      </x:c>
      <x:c r="C50" s="28" t="str"/>
      <x:c r="D50" s="28" t="str">
        <x:v>Pure Water Protect</x:v>
      </x:c>
      <x:c r="E50" s="28" t="str">
        <x:v>&gt;200 Boote</x:v>
      </x:c>
      <x:c r="F50" s="28" t="str">
        <x:v>Praxisangabe</x:v>
      </x:c>
      <x:c r="G50" s="28" t="str">
        <x:v>Water Protect Master Deck 2026</x:v>
      </x:c>
      <x:c r="H50" s="28" t="str">
        <x:v>praktische Anwendungen laut Unterlagen</x:v>
      </x:c>
      <x:c r="I50" s="28" t="str">
        <x:v>verifizierte Referenzliste ohne Nachweis</x:v>
      </x:c>
      <x:c r="J50" s="28" t="str">
        <x:v>Referenzliste mit Typ, Fläche, Dauer, Ergebnis</x:v>
      </x:c>
      <x:c r="K50" s="28" t="str"/>
      <x:c r="L50" s="28" t="str"/>
      <x:c r="M50" s="28" t="str"/>
      <x:c r="N50" s="28" t="str">
        <x:v>REVIEW REQUIRED</x:v>
      </x:c>
      <x:c r="O50" s="28" t="str">
        <x:v>NOT STARTED</x:v>
      </x:c>
      <x:c r="P50" s="28" t="str">
        <x:v>NOT STARTED</x:v>
      </x:c>
      <x:c r="Q50" s="28" t="str"/>
      <x:c r="R50" s="28" t="str"/>
      <x:c r="S50" s="28" t="str">
        <x:v>IN REVIEW</x:v>
      </x:c>
      <x:c r="T50" s="28" t="str">
        <x:v>Imported from TIPMS V2.0; no automatic public approval.</x:v>
      </x:c>
    </x:row>
    <x:row r="51" ht="42" customHeight="1">
      <x:c r="A51" s="28" t="str">
        <x:v>CLM-047</x:v>
      </x:c>
      <x:c r="B51" s="28" t="str">
        <x:v>PF-WATER</x:v>
      </x:c>
      <x:c r="C51" s="28" t="str"/>
      <x:c r="D51" s="28" t="str">
        <x:v>Pure Water Protect</x:v>
      </x:c>
      <x:c r="E51" s="28" t="str">
        <x:v>70–90 m²/L vs. ca. 10 m²/L klassisch</x:v>
      </x:c>
      <x:c r="F51" s="28" t="str">
        <x:v>Projekt-/Vergleichsangabe</x:v>
      </x:c>
      <x:c r="G51" s="28" t="str">
        <x:v>Water Protect Master Deck 2026</x:v>
      </x:c>
      <x:c r="H51" s="28" t="str">
        <x:v>als anwendungsabhängiger Verbrauchsvergleich formulieren</x:v>
      </x:c>
      <x:c r="I51" s="28" t="str">
        <x:v>garantierter Universalkostenvorteil</x:v>
      </x:c>
      <x:c r="J51" s="28" t="str">
        <x:v>Objektverbrauch und Vergleichssystem definieren</x:v>
      </x:c>
      <x:c r="K51" s="28" t="str"/>
      <x:c r="L51" s="28" t="str"/>
      <x:c r="M51" s="28" t="str"/>
      <x:c r="N51" s="28" t="str">
        <x:v>REVIEW REQUIRED</x:v>
      </x:c>
      <x:c r="O51" s="28" t="str">
        <x:v>NOT STARTED</x:v>
      </x:c>
      <x:c r="P51" s="28" t="str">
        <x:v>NOT STARTED</x:v>
      </x:c>
      <x:c r="Q51" s="28" t="str"/>
      <x:c r="R51" s="28" t="str"/>
      <x:c r="S51" s="28" t="str">
        <x:v>IN REVIEW</x:v>
      </x:c>
      <x:c r="T51" s="28" t="str">
        <x:v>Imported from TIPMS V2.0; no automatic public approval.</x:v>
      </x:c>
    </x:row>
    <x:row r="52" ht="42" customHeight="1">
      <x:c r="A52" s="28" t="str">
        <x:v>CLM-048</x:v>
      </x:c>
      <x:c r="B52" s="28" t="str">
        <x:v>PF-WATER</x:v>
      </x:c>
      <x:c r="C52" s="28" t="str"/>
      <x:c r="D52" s="28" t="str">
        <x:v>Pure Water Protect</x:v>
      </x:c>
      <x:c r="E52" s="28" t="str">
        <x:v>Fuel-/Reibungsreduzierung</x:v>
      </x:c>
      <x:c r="F52" s="28" t="str">
        <x:v>plausibel</x:v>
      </x:c>
      <x:c r="G52" s="28" t="str">
        <x:v>Glätte-/Bewuchslogik</x:v>
      </x:c>
      <x:c r="H52" s="28" t="str">
        <x:v>potenzieller Nutzen bei saubererem Rumpf</x:v>
      </x:c>
      <x:c r="I52" s="28" t="str">
        <x:v>garantierte Kraftstoffersparnis</x:v>
      </x:c>
      <x:c r="J52" s="28" t="str">
        <x:v>Saisonmessung Geschwindigkeit/Verbrauch</x:v>
      </x:c>
      <x:c r="K52" s="28" t="str"/>
      <x:c r="L52" s="28" t="str"/>
      <x:c r="M52" s="28" t="str"/>
      <x:c r="N52" s="28" t="str">
        <x:v>REVIEW REQUIRED</x:v>
      </x:c>
      <x:c r="O52" s="28" t="str">
        <x:v>NOT STARTED</x:v>
      </x:c>
      <x:c r="P52" s="28" t="str">
        <x:v>NOT STARTED</x:v>
      </x:c>
      <x:c r="Q52" s="28" t="str"/>
      <x:c r="R52" s="28" t="str"/>
      <x:c r="S52" s="28" t="str">
        <x:v>IN REVIEW</x:v>
      </x:c>
      <x:c r="T52" s="28" t="str">
        <x:v>Imported from TIPMS V2.0; no automatic public approval.</x:v>
      </x:c>
    </x:row>
    <x:row r="53" ht="42" customHeight="1">
      <x:c r="A53" s="28" t="str">
        <x:v>CLM-049</x:v>
      </x:c>
      <x:c r="B53" s="28" t="str">
        <x:v>PF-WOOD</x:v>
      </x:c>
      <x:c r="C53" s="28" t="str"/>
      <x:c r="D53" s="28" t="str">
        <x:v>Pure Wood Protect</x:v>
      </x:c>
      <x:c r="E53" s="28" t="str">
        <x:v>UV-/Witterungsschutz</x:v>
      </x:c>
      <x:c r="F53" s="28" t="str">
        <x:v>plausibel</x:v>
      </x:c>
      <x:c r="G53" s="28" t="str">
        <x:v>Wood Protect Master Deck 2026</x:v>
      </x:c>
      <x:c r="H53" s="28" t="str">
        <x:v>objekt- und holzartspezifisch zu prüfen</x:v>
      </x:c>
      <x:c r="I53" s="28" t="str">
        <x:v>pauschaler Langzeitschutz</x:v>
      </x:c>
      <x:c r="J53" s="28" t="str">
        <x:v>Außenbewitterung je Holzart</x:v>
      </x:c>
      <x:c r="K53" s="28" t="str"/>
      <x:c r="L53" s="28" t="str"/>
      <x:c r="M53" s="28" t="str"/>
      <x:c r="N53" s="28" t="str">
        <x:v>REVIEW REQUIRED</x:v>
      </x:c>
      <x:c r="O53" s="28" t="str">
        <x:v>NOT STARTED</x:v>
      </x:c>
      <x:c r="P53" s="28" t="str">
        <x:v>NOT STARTED</x:v>
      </x:c>
      <x:c r="Q53" s="28" t="str"/>
      <x:c r="R53" s="28" t="str"/>
      <x:c r="S53" s="28" t="str">
        <x:v>IN REVIEW</x:v>
      </x:c>
      <x:c r="T53" s="28" t="str">
        <x:v>Imported from TIPMS V2.0; no automatic public approval.</x:v>
      </x:c>
    </x:row>
    <x:row r="54" ht="42" customHeight="1">
      <x:c r="A54" s="28" t="str">
        <x:v>CLM-050</x:v>
      </x:c>
      <x:c r="B54" s="28" t="str">
        <x:v>PF-WOOD</x:v>
      </x:c>
      <x:c r="C54" s="28" t="str"/>
      <x:c r="D54" s="28" t="str">
        <x:v>Pure Wood Protect</x:v>
      </x:c>
      <x:c r="E54" s="28" t="str">
        <x:v>Biozidfrei</x:v>
      </x:c>
      <x:c r="F54" s="28" t="str">
        <x:v>Positionierung / Abgrenzung</x:v>
      </x:c>
      <x:c r="G54" s="28" t="str">
        <x:v>Wood Protect Master Deck 2026</x:v>
      </x:c>
      <x:c r="H54" s="28" t="str">
        <x:v>keine Wirkstoff-/Holzschutzmittelstory</x:v>
      </x:c>
      <x:c r="I54" s="28" t="str">
        <x:v>Pilz-/Algen-/Holzschutzwirkung ohne Zulassung</x:v>
      </x:c>
      <x:c r="J54" s="28" t="str">
        <x:v>regulatorische Claimprüfung</x:v>
      </x:c>
      <x:c r="K54" s="28" t="str"/>
      <x:c r="L54" s="28" t="str"/>
      <x:c r="M54" s="28" t="str"/>
      <x:c r="N54" s="28" t="str">
        <x:v>REVIEW REQUIRED</x:v>
      </x:c>
      <x:c r="O54" s="28" t="str">
        <x:v>NOT STARTED</x:v>
      </x:c>
      <x:c r="P54" s="28" t="str">
        <x:v>NOT STARTED</x:v>
      </x:c>
      <x:c r="Q54" s="28" t="str"/>
      <x:c r="R54" s="28" t="str"/>
      <x:c r="S54" s="28" t="str">
        <x:v>IN REVIEW</x:v>
      </x:c>
      <x:c r="T54" s="28" t="str">
        <x:v>Imported from TIPMS V2.0; no automatic public approval.</x:v>
      </x:c>
    </x:row>
    <x:row r="55">
      <x:c r="A55" t="str">
        <x:v>CLM-051</x:v>
      </x:c>
      <x:c r="B55" t="str">
        <x:v>PF-LHEAT</x:v>
      </x:c>
      <x:c r="C55"/>
      <x:c r="D55" t="str">
        <x:v>Pure Liquid Heat</x:v>
      </x:c>
      <x:c r="E55" t="str">
        <x:v>elektrische Funktionsschicht statt isolierter Heizfarbe</x:v>
      </x:c>
      <x:c r="F55" t="str">
        <x:v>intern definierte Positionierung</x:v>
      </x:c>
      <x:c r="G55" t="str">
        <x:v>SRC-010</x:v>
      </x:c>
      <x:c r="H55" t="str">
        <x:v>elektrische Funktionsschicht für integrierte Wärmesysteme</x:v>
      </x:c>
      <x:c r="I55" t="str">
        <x:v>als frei applizierbare Heizfarbe für beliebige Untergründe darstellen</x:v>
      </x:c>
      <x:c r="J55" t="str">
        <x:v>Systemdefinition + Website Claim Review</x:v>
      </x:c>
      <x:c r="K55" t="str">
        <x:v>B</x:v>
      </x:c>
      <x:c r="L55" t="str">
        <x:v>Product family</x:v>
      </x:c>
      <x:c r="M55" t="str">
        <x:v>Nur in definierten Systemaufbauten</x:v>
      </x:c>
      <x:c r="N55" t="str">
        <x:v>YES</x:v>
      </x:c>
      <x:c r="O55" t="str">
        <x:v>IN REVIEW</x:v>
      </x:c>
      <x:c r="P55" t="str">
        <x:v>IN REVIEW</x:v>
      </x:c>
      <x:c r="Q55" t="str">
        <x:v>/pure-liquid-heat</x:v>
      </x:c>
      <x:c r="R55" t="str">
        <x:v>SRC-010</x:v>
      </x:c>
      <x:c r="S55" t="str">
        <x:v>IN REVIEW</x:v>
      </x:c>
      <x:c r="T55" t="str">
        <x:v>Core positioning claim.</x:v>
      </x:c>
    </x:row>
    <x:row r="56">
      <x:c r="A56" t="str">
        <x:v>CLM-052</x:v>
      </x:c>
      <x:c r="B56" t="str">
        <x:v>PF-LHEAT</x:v>
      </x:c>
      <x:c r="C56"/>
      <x:c r="D56" t="str">
        <x:v>Pure Liquid Heat</x:v>
      </x:c>
      <x:c r="E56" t="str">
        <x:v>direkte elektrische Widerstandserwärmung in leitfähiger Beschichtung</x:v>
      </x:c>
      <x:c r="F56" t="str">
        <x:v>intern technisch dokumentiert</x:v>
      </x:c>
      <x:c r="G56" t="str">
        <x:v>SRC-031/SRC-010</x:v>
      </x:c>
      <x:c r="H56" t="str">
        <x:v>elektrische Energie wird direkt in der leitfähigen Beschichtung in Wärme umgesetzt</x:v>
      </x:c>
      <x:c r="I56" t="str">
        <x:v>Energievermehrung / Wirkungsgrad über 100 %</x:v>
      </x:c>
      <x:c r="J56" t="str">
        <x:v>Systemmessung und externe technische Dokumentation</x:v>
      </x:c>
      <x:c r="K56" t="str">
        <x:v>B</x:v>
      </x:c>
      <x:c r="L56" t="str">
        <x:v>Defined system</x:v>
      </x:c>
      <x:c r="M56" t="str">
        <x:v>Leistungsprofil aufbauabhängig</x:v>
      </x:c>
      <x:c r="N56" t="str">
        <x:v>YES</x:v>
      </x:c>
      <x:c r="O56" t="str">
        <x:v>IN REVIEW</x:v>
      </x:c>
      <x:c r="P56" t="str">
        <x:v>N/A</x:v>
      </x:c>
      <x:c r="Q56" t="str">
        <x:v>/pure-liquid-heat#how</x:v>
      </x:c>
      <x:c r="R56" t="str">
        <x:v>SRC-031</x:v>
      </x:c>
      <x:c r="S56" t="str">
        <x:v>IN REVIEW</x:v>
      </x:c>
      <x:c r="T56" t="str">
        <x:v>Physical principle; keep wording concise.</x:v>
      </x:c>
    </x:row>
    <x:row r="57">
      <x:c r="A57" t="str">
        <x:v>CLM-053</x:v>
      </x:c>
      <x:c r="B57" t="str">
        <x:v>PF-LHEAT</x:v>
      </x:c>
      <x:c r="C57"/>
      <x:c r="D57" t="str">
        <x:v>Pure Liquid Heat</x:v>
      </x:c>
      <x:c r="E57" t="str">
        <x:v>direkter Untergrund ausschließlich GFB/GFK/Vermiculite</x:v>
      </x:c>
      <x:c r="F57" t="str">
        <x:v>korrigierte aktuelle interne Definition</x:v>
      </x:c>
      <x:c r="G57" t="str">
        <x:v>SRC-032</x:v>
      </x:c>
      <x:c r="H57" t="str">
        <x:v>aktueller Standardaufbau: GFB, GFK oder Vermiculite als direkte Träger</x:v>
      </x:c>
      <x:c r="I57" t="str">
        <x:v>Fermacell/Beton/Keramik/OEM-Substrat pauschal freigeben</x:v>
      </x:c>
      <x:c r="J57" t="str">
        <x:v>Formale Substratmatrix und Haft-/Dauerprüfung</x:v>
      </x:c>
      <x:c r="K57" t="str">
        <x:v>B</x:v>
      </x:c>
      <x:c r="L57" t="str">
        <x:v>Current standard build-up</x:v>
      </x:c>
      <x:c r="M57" t="str">
        <x:v>Conflicting older sources exist</x:v>
      </x:c>
      <x:c r="N57" t="str">
        <x:v>WITH QUALIFICATION</x:v>
      </x:c>
      <x:c r="O57" t="str">
        <x:v>IN REVIEW</x:v>
      </x:c>
      <x:c r="P57" t="str">
        <x:v>IN REVIEW</x:v>
      </x:c>
      <x:c r="Q57" t="str">
        <x:v>/pure-liquid-heat#system</x:v>
      </x:c>
      <x:c r="R57" t="str">
        <x:v>SRC-032</x:v>
      </x:c>
      <x:c r="S57" t="str">
        <x:v>IN REVIEW</x:v>
      </x:c>
      <x:c r="T57" t="str">
        <x:v>Controlling interim wording until formal product release.</x:v>
      </x:c>
    </x:row>
    <x:row r="58">
      <x:c r="A58" t="str">
        <x:v>CLM-054</x:v>
      </x:c>
      <x:c r="B58" t="str">
        <x:v>PF-LHEAT</x:v>
      </x:c>
      <x:c r="C58"/>
      <x:c r="D58" t="str">
        <x:v>Pure Liquid Heat</x:v>
      </x:c>
      <x:c r="E58" t="str">
        <x:v>keine Grundierung; Schutzschicht nur anwendungsabhängig</x:v>
      </x:c>
      <x:c r="F58" t="str">
        <x:v>korrigierte aktuelle interne Definition</x:v>
      </x:c>
      <x:c r="G58" t="str">
        <x:v>SRC-032</x:v>
      </x:c>
      <x:c r="H58" t="str">
        <x:v>Heizschicht direkt auf definiertem Träger; Schutzschicht nur bei Feuchte, Outdoor, Reinigung oder mechanischer Beanspruchung</x:v>
      </x:c>
      <x:c r="I58" t="str">
        <x:v>Schutzschicht als generell zwingende Lage oder Primer darstellen</x:v>
      </x:c>
      <x:c r="J58" t="str">
        <x:v>Systemaufbau je Anwendung freigeben</x:v>
      </x:c>
      <x:c r="K58" t="str">
        <x:v>B</x:v>
      </x:c>
      <x:c r="L58" t="str">
        <x:v>Current standard build-up</x:v>
      </x:c>
      <x:c r="M58" t="str">
        <x:v>Topcoat type/specification not yet public</x:v>
      </x:c>
      <x:c r="N58" t="str">
        <x:v>WITH QUALIFICATION</x:v>
      </x:c>
      <x:c r="O58" t="str">
        <x:v>IN REVIEW</x:v>
      </x:c>
      <x:c r="P58" t="str">
        <x:v>IN REVIEW</x:v>
      </x:c>
      <x:c r="Q58" t="str">
        <x:v>/pure-liquid-heat#system</x:v>
      </x:c>
      <x:c r="R58" t="str">
        <x:v>SRC-032</x:v>
      </x:c>
      <x:c r="S58" t="str">
        <x:v>IN REVIEW</x:v>
      </x:c>
      <x:c r="T58" t="str">
        <x:v>Current corrected build-up.</x:v>
      </x:c>
    </x:row>
    <x:row r="59">
      <x:c r="A59" t="str">
        <x:v>CLM-055</x:v>
      </x:c>
      <x:c r="B59" t="str">
        <x:v>PF-LHEAT</x:v>
      </x:c>
      <x:c r="C59"/>
      <x:c r="D59" t="str">
        <x:v>Pure Liquid Heat</x:v>
      </x:c>
      <x:c r="E59" t="str">
        <x:v>12/24/30 V DC Niedervoltarchitekturen</x:v>
      </x:c>
      <x:c r="F59" t="str">
        <x:v>intern/prototypisch dokumentiert</x:v>
      </x:c>
      <x:c r="G59" t="str">
        <x:v>SRC-032/SRC-031</x:v>
      </x:c>
      <x:c r="H59" t="str">
        <x:v>Niedervolt-Architekturen werden abhängig von Modulfläche, Leistung und Anwendung ausgelegt</x:v>
      </x:c>
      <x:c r="I59" t="str">
        <x:v>pauschal 'sicher wegen Niedervolt' oder eine Spannung als Standard für alle Systeme</x:v>
      </x:c>
      <x:c r="J59" t="str">
        <x:v>Elektrische Spezifikation je Systemklasse + Sicherheitsprüfung</x:v>
      </x:c>
      <x:c r="K59" t="str">
        <x:v>B</x:v>
      </x:c>
      <x:c r="L59" t="str">
        <x:v>Prototype/system architectures</x:v>
      </x:c>
      <x:c r="M59" t="str">
        <x:v>Endprodukt- und Netzteilprüfung erforderlich</x:v>
      </x:c>
      <x:c r="N59" t="str">
        <x:v>WITH QUALIFICATION</x:v>
      </x:c>
      <x:c r="O59" t="str">
        <x:v>IN REVIEW</x:v>
      </x:c>
      <x:c r="P59" t="str">
        <x:v>IN REVIEW</x:v>
      </x:c>
      <x:c r="Q59" t="str">
        <x:v>/pure-liquid-heat</x:v>
      </x:c>
      <x:c r="R59" t="str">
        <x:v>SRC-032</x:v>
      </x:c>
      <x:c r="S59" t="str">
        <x:v>IN REVIEW</x:v>
      </x:c>
      <x:c r="T59" t="str">
        <x:v>Use as architecture, not certification claim.</x:v>
      </x:c>
    </x:row>
    <x:row r="60">
      <x:c r="A60" t="str">
        <x:v>CLM-056</x:v>
      </x:c>
      <x:c r="B60" t="str">
        <x:v>PF-LHEAT</x:v>
      </x:c>
      <x:c r="C60"/>
      <x:c r="D60" t="str">
        <x:v>Pure Liquid Heat</x:v>
      </x:c>
      <x:c r="E60" t="str">
        <x:v>geringe thermische Masse / schnelle Reaktion</x:v>
      </x:c>
      <x:c r="F60" t="str">
        <x:v>intern technisch hergeleitet und beobachtet</x:v>
      </x:c>
      <x:c r="G60" t="str">
        <x:v>SRC-031</x:v>
      </x:c>
      <x:c r="H60" t="str">
        <x:v>geringe thermische Masse unterstützt schnelle Reaktion und bedarfsgerechte Zonenwärme</x:v>
      </x:c>
      <x:c r="I60" t="str">
        <x:v>garantierte Energieeinsparung daraus ableiten</x:v>
      </x:c>
      <x:c r="J60" t="str">
        <x:v>Vergleichsmessung Aufheizzeit und Verbrauch je System</x:v>
      </x:c>
      <x:c r="K60" t="str">
        <x:v>B</x:v>
      </x:c>
      <x:c r="L60" t="str">
        <x:v>System principle</x:v>
      </x:c>
      <x:c r="M60" t="str">
        <x:v>Quantitativer Vorteil nicht extern belegt</x:v>
      </x:c>
      <x:c r="N60" t="str">
        <x:v>WITH QUALIFICATION</x:v>
      </x:c>
      <x:c r="O60" t="str">
        <x:v>IN REVIEW</x:v>
      </x:c>
      <x:c r="P60" t="str">
        <x:v>N/A</x:v>
      </x:c>
      <x:c r="Q60" t="str">
        <x:v>/pure-liquid-heat</x:v>
      </x:c>
      <x:c r="R60" t="str">
        <x:v>SRC-031</x:v>
      </x:c>
      <x:c r="S60" t="str">
        <x:v>IN REVIEW</x:v>
      </x:c>
      <x:c r="T60" t="str">
        <x:v>Benefit claim without savings percentage.</x:v>
      </x:c>
    </x:row>
    <x:row r="61">
      <x:c r="A61" t="str">
        <x:v>CLM-057</x:v>
      </x:c>
      <x:c r="B61" t="str">
        <x:v>PF-LHEAT</x:v>
      </x:c>
      <x:c r="C61"/>
      <x:c r="D61" t="str">
        <x:v>Pure Liquid Heat</x:v>
      </x:c>
      <x:c r="E61" t="str">
        <x:v>Systemleistung ist aufbauabhängig</x:v>
      </x:c>
      <x:c r="F61" t="str">
        <x:v>verbindliche Claim-Grenze</x:v>
      </x:c>
      <x:c r="G61" t="str">
        <x:v>SRC-010/SRC-031</x:v>
      </x:c>
      <x:c r="H61" t="str">
        <x:v>Temperatur, Widerstand, Leistung und Verbrauch gelten nur für den definierten Systemaufbau</x:v>
      </x:c>
      <x:c r="I61" t="str">
        <x:v>generische W/m²-, Temperatur- oder Verbrauchswerte für die Produktfamilie</x:v>
      </x:c>
      <x:c r="J61" t="str">
        <x:v>Messdatenblatt je freigegebenem System</x:v>
      </x:c>
      <x:c r="K61" t="str">
        <x:v>B</x:v>
      </x:c>
      <x:c r="L61" t="str">
        <x:v>All performance claims</x:v>
      </x:c>
      <x:c r="M61" t="str">
        <x:v>No generic family-level performance values</x:v>
      </x:c>
      <x:c r="N61" t="str">
        <x:v>YES</x:v>
      </x:c>
      <x:c r="O61" t="str">
        <x:v>IN REVIEW</x:v>
      </x:c>
      <x:c r="P61" t="str">
        <x:v>IN REVIEW</x:v>
      </x:c>
      <x:c r="Q61" t="str">
        <x:v>/pure-liquid-heat</x:v>
      </x:c>
      <x:c r="R61" t="str">
        <x:v>SRC-010</x:v>
      </x:c>
      <x:c r="S61" t="str">
        <x:v>IN REVIEW</x:v>
      </x:c>
      <x:c r="T61" t="str">
        <x:v>Critical website limitation.</x:v>
      </x:c>
    </x:row>
    <x:row r="62">
      <x:c r="A62" t="str">
        <x:v>CLM-058</x:v>
      </x:c>
      <x:c r="B62" t="str">
        <x:v>PF-LHEAT</x:v>
      </x:c>
      <x:c r="C62"/>
      <x:c r="D62" t="str">
        <x:v>Pure Liquid Heat</x:v>
      </x:c>
      <x:c r="E62" t="str">
        <x:v>CE/EMV/IP/Brand nur für komplettes Endsystem</x:v>
      </x:c>
      <x:c r="F62" t="str">
        <x:v>interne regulatorische Strategie</x:v>
      </x:c>
      <x:c r="G62" t="str">
        <x:v>SRC-010/SRC-031</x:v>
      </x:c>
      <x:c r="H62" t="str">
        <x:v>Prüf- und Zulassungsanforderungen werden am vollständigen Endsystem und je Anwendung bewertet</x:v>
      </x:c>
      <x:c r="I62" t="str">
        <x:v>CE-zertifiziert / IP44 geprüft / brandschutzgeprüft ohne konkreten Endaufbau</x:v>
      </x:c>
      <x:c r="J62" t="str">
        <x:v>Externe Prüf- und Konformitätsprogramme je Systemklasse</x:v>
      </x:c>
      <x:c r="K62" t="str">
        <x:v>B</x:v>
      </x:c>
      <x:c r="L62" t="str">
        <x:v>Market access</x:v>
      </x:c>
      <x:c r="M62" t="str">
        <x:v>No current generic compliance approval established</x:v>
      </x:c>
      <x:c r="N62" t="str">
        <x:v>YES</x:v>
      </x:c>
      <x:c r="O62" t="str">
        <x:v>IN REVIEW</x:v>
      </x:c>
      <x:c r="P62" t="str">
        <x:v>IN REVIEW</x:v>
      </x:c>
      <x:c r="Q62" t="str">
        <x:v>/pure-liquid-heat#safety</x:v>
      </x:c>
      <x:c r="R62" t="str">
        <x:v>SRC-010</x:v>
      </x:c>
      <x:c r="S62" t="str">
        <x:v>IN REVIEW</x:v>
      </x:c>
      <x:c r="T62" t="str">
        <x:v>Boundary claim, not compliance claim.</x:v>
      </x:c>
    </x:row>
    <x:row r="63">
      <x:c r="A63" t="str">
        <x:v>CLM-059</x:v>
      </x:c>
      <x:c r="B63" t="str">
        <x:v>PF-LHEAT</x:v>
      </x:c>
      <x:c r="C63" t="str">
        <x:v>SYS-LH-OUT</x:v>
      </x:c>
      <x:c r="D63" t="str">
        <x:v>Pure Liquid Heat</x:v>
      </x:c>
      <x:c r="E63" t="str">
        <x:v>beheizte Sitzbank als integriertes Komfortprodukt</x:v>
      </x:c>
      <x:c r="F63" t="str">
        <x:v>Konzept / Vorentwicklung</x:v>
      </x:c>
      <x:c r="G63" t="str">
        <x:v>SRC-001</x:v>
      </x:c>
      <x:c r="H63" t="str">
        <x:v>als Entwicklungsbeispiel für integrierte Sitzwärme darstellen</x:v>
      </x:c>
      <x:c r="I63" t="str">
        <x:v>serienreifes, wartungsarmes, vandalismussicheres Produkt behaupten</x:v>
      </x:c>
      <x:c r="J63" t="str">
        <x:v>Pilotmuster + Wärme-/Außentest + Sicherheitsprüfung</x:v>
      </x:c>
      <x:c r="K63" t="str">
        <x:v>D</x:v>
      </x:c>
      <x:c r="L63" t="str">
        <x:v>Heated bench concept</x:v>
      </x:c>
      <x:c r="M63" t="str">
        <x:v>Rendering and typical powers are concept values</x:v>
      </x:c>
      <x:c r="N63" t="str">
        <x:v>WITH QUALIFICATION</x:v>
      </x:c>
      <x:c r="O63" t="str">
        <x:v>IN REVIEW</x:v>
      </x:c>
      <x:c r="P63" t="str">
        <x:v>IN REVIEW</x:v>
      </x:c>
      <x:c r="Q63" t="str">
        <x:v>/pure-liquid-heat#applications</x:v>
      </x:c>
      <x:c r="R63" t="str">
        <x:v>SRC-001</x:v>
      </x:c>
      <x:c r="S63" t="str">
        <x:v>IN REVIEW</x:v>
      </x:c>
      <x:c r="T63" t="str">
        <x:v>Show only as concept or prototype until validated.</x:v>
      </x:c>
    </x:row>
    <x:row r="64">
      <x:c r="A64" t="str">
        <x:v>CLM-060</x:v>
      </x:c>
      <x:c r="B64" t="str">
        <x:v>PF-LHEAT</x:v>
      </x:c>
      <x:c r="C64" t="str">
        <x:v>SYS-LH-OUT</x:v>
      </x:c>
      <x:c r="D64" t="str">
        <x:v>Pure Liquid Heat</x:v>
      </x:c>
      <x:c r="E64" t="str">
        <x:v>PureHeat Prism / Heizfuß</x:v>
      </x:c>
      <x:c r="F64" t="str">
        <x:v>Vorentwicklung / technische Annahmen</x:v>
      </x:c>
      <x:c r="G64" t="str">
        <x:v>SRC-006</x:v>
      </x:c>
      <x:c r="H64" t="str">
        <x:v>als Design- und Entwicklungskonzept für integrierte Terrassenwärme darstellen</x:v>
      </x:c>
      <x:c r="I64" t="str">
        <x:v>30 V / 400 W / IP44-IP54 als freigegebene Produktspezifikation darstellen</x:v>
      </x:c>
      <x:c r="J64" t="str">
        <x:v>P1-Prototyp, Laborvorprüfung, Feldversuch</x:v>
      </x:c>
      <x:c r="K64" t="str">
        <x:v>D</x:v>
      </x:c>
      <x:c r="L64" t="str">
        <x:v>PureHeat Prism concept</x:v>
      </x:c>
      <x:c r="M64" t="str">
        <x:v>All key dimensions/performance/cost figures are development assumptions</x:v>
      </x:c>
      <x:c r="N64" t="str">
        <x:v>WITH QUALIFICATION</x:v>
      </x:c>
      <x:c r="O64" t="str">
        <x:v>IN REVIEW</x:v>
      </x:c>
      <x:c r="P64" t="str">
        <x:v>IN REVIEW</x:v>
      </x:c>
      <x:c r="Q64" t="str">
        <x:v>/pure-liquid-heat#applications</x:v>
      </x:c>
      <x:c r="R64" t="str">
        <x:v>SRC-006</x:v>
      </x:c>
      <x:c r="S64" t="str">
        <x:v>IN REVIEW</x:v>
      </x:c>
      <x:c r="T64" t="str">
        <x:v>Label clearly as concept/design study.</x:v>
      </x:c>
    </x:row>
    <x:row r="65">
      <x:c r="A65" t="str">
        <x:v>CLM-061</x:v>
      </x:c>
      <x:c r="B65" t="str">
        <x:v>PF-LHEAT</x:v>
      </x:c>
      <x:c r="C65"/>
      <x:c r="D65" t="str">
        <x:v>Pure Liquid Heat</x:v>
      </x:c>
      <x:c r="E65" t="str">
        <x:v>15-/30-mm panel measurements provide internal power/temperature data</x:v>
      </x:c>
      <x:c r="F65" t="str">
        <x:v>internally documented measurement series</x:v>
      </x:c>
      <x:c r="G65" t="str">
        <x:v>SRC-033</x:v>
      </x:c>
      <x:c r="H65" t="str">
        <x:v>internal test data may be shown only as clearly labelled specimen-specific B evidence</x:v>
      </x:c>
      <x:c r="I65" t="str">
        <x:v>generic family-level W, W/m² or temperature performance</x:v>
      </x:c>
      <x:c r="J65" t="str">
        <x:v>formal measurement dossier + external system repeat test</x:v>
      </x:c>
      <x:c r="K65" t="str">
        <x:v>B</x:v>
      </x:c>
      <x:c r="L65" t="str">
        <x:v>Defined internal test panels</x:v>
      </x:c>
      <x:c r="M65" t="str">
        <x:v>Specific geometry/layer/voltage only</x:v>
      </x:c>
      <x:c r="N65" t="str">
        <x:v>WITH QUALIFICATION</x:v>
      </x:c>
      <x:c r="O65" t="str">
        <x:v>IN REVIEW</x:v>
      </x:c>
      <x:c r="P65" t="str">
        <x:v>IN REVIEW</x:v>
      </x:c>
      <x:c r="Q65" t="str">
        <x:v>/pure-liquid-heat#evidence</x:v>
      </x:c>
      <x:c r="R65" t="str">
        <x:v>SRC-033</x:v>
      </x:c>
      <x:c r="S65" t="str">
        <x:v>IN REVIEW</x:v>
      </x:c>
      <x:c r="T65" t="str">
        <x:v>Measured power/temperature = B; no series/product approval.</x:v>
      </x:c>
    </x:row>
    <x:row r="66">
      <x:c r="A66" t="str">
        <x:v>CLM-062</x:v>
      </x:c>
      <x:c r="B66" t="str">
        <x:v>PF-LHEAT</x:v>
      </x:c>
      <x:c r="C66"/>
      <x:c r="D66" t="str">
        <x:v>Pure Liquid Heat</x:v>
      </x:c>
      <x:c r="E66" t="str">
        <x:v>power density values derived from panel series</x:v>
      </x:c>
      <x:c r="F66" t="str">
        <x:v>calculated from internal test data</x:v>
      </x:c>
      <x:c r="G66" t="str">
        <x:v>SRC-033</x:v>
      </x:c>
      <x:c r="H66" t="str">
        <x:v>derived W/m² values may be used only as C evidence for the stated test geometry</x:v>
      </x:c>
      <x:c r="I66" t="str">
        <x:v>present derived W/m² as directly measured or transferable performance</x:v>
      </x:c>
      <x:c r="J66" t="str">
        <x:v>system-specific measured data sheets</x:v>
      </x:c>
      <x:c r="K66" t="str">
        <x:v>C</x:v>
      </x:c>
      <x:c r="L66" t="str">
        <x:v>Defined test panels / calculations</x:v>
      </x:c>
      <x:c r="M66" t="str">
        <x:v>P/A based on test geometry</x:v>
      </x:c>
      <x:c r="N66" t="str">
        <x:v>WITH QUALIFICATION</x:v>
      </x:c>
      <x:c r="O66" t="str">
        <x:v>IN REVIEW</x:v>
      </x:c>
      <x:c r="P66" t="str">
        <x:v>N/A</x:v>
      </x:c>
      <x:c r="Q66" t="str">
        <x:v>/pure-liquid-heat#evidence</x:v>
      </x:c>
      <x:c r="R66" t="str">
        <x:v>SRC-033</x:v>
      </x:c>
      <x:c r="S66" t="str">
        <x:v>IN REVIEW</x:v>
      </x:c>
      <x:c r="T66" t="str">
        <x:v>C evidence; keep separate from B measurement.</x:v>
      </x:c>
    </x:row>
    <x:row r="67">
      <x:c r="A67" t="str">
        <x:v>CLM-063</x:v>
      </x:c>
      <x:c r="B67" t="str">
        <x:v>PF-LHEAT</x:v>
      </x:c>
      <x:c r="C67"/>
      <x:c r="D67" t="str">
        <x:v>Pure Liquid Heat</x:v>
      </x:c>
      <x:c r="E67" t="str">
        <x:v>30-mm design is more controllable; 15-mm design is the power variant</x:v>
      </x:c>
      <x:c r="F67" t="str">
        <x:v>internal technical interpretation</x:v>
      </x:c>
      <x:c r="G67" t="str">
        <x:v>SRC-033</x:v>
      </x:c>
      <x:c r="H67" t="str">
        <x:v>may be used internally as a development interpretation, not as a universal public design rule</x:v>
      </x:c>
      <x:c r="I67" t="str">
        <x:v>external/generalized design superiority claim</x:v>
      </x:c>
      <x:c r="J67" t="str">
        <x:v>repeatability + thermal imaging + endurance comparison</x:v>
      </x:c>
      <x:c r="K67" t="str">
        <x:v>B</x:v>
      </x:c>
      <x:c r="L67" t="str">
        <x:v>Internal design interpretation</x:v>
      </x:c>
      <x:c r="M67" t="str">
        <x:v>Specific test series only</x:v>
      </x:c>
      <x:c r="N67" t="str">
        <x:v>NO</x:v>
      </x:c>
      <x:c r="O67" t="str">
        <x:v>IN REVIEW</x:v>
      </x:c>
      <x:c r="P67" t="str">
        <x:v>N/A</x:v>
      </x:c>
      <x:c r="Q67"/>
      <x:c r="R67" t="str">
        <x:v>SRC-033</x:v>
      </x:c>
      <x:c r="S67" t="str">
        <x:v>IN REVIEW</x:v>
      </x:c>
      <x:c r="T67" t="str">
        <x:v>Keep technical/internal until validated.</x:v>
      </x:c>
    </x:row>
    <x:row r="68">
      <x:c r="A68" t="str">
        <x:v>CLM-064</x:v>
      </x:c>
      <x:c r="B68" t="str">
        <x:v>PF-LHEAT</x:v>
      </x:c>
      <x:c r="C68"/>
      <x:c r="D68" t="str">
        <x:v>Pure Liquid Heat</x:v>
      </x:c>
      <x:c r="E68" t="str">
        <x:v>300–800 / 1,000–2,500 / 2,500–5,000 W/m² application corridors</x:v>
      </x:c>
      <x:c r="F68" t="str">
        <x:v>development recommendation</x:v>
      </x:c>
      <x:c r="G68" t="str">
        <x:v>SRC-033</x:v>
      </x:c>
      <x:c r="H68" t="str">
        <x:v>internal target corridors for development planning only</x:v>
      </x:c>
      <x:c r="I68" t="str">
        <x:v>public product classes or guaranteed performance bands</x:v>
      </x:c>
      <x:c r="J68" t="str">
        <x:v>adopt formal system classes and externally validate</x:v>
      </x:c>
      <x:c r="K68" t="str">
        <x:v>D</x:v>
      </x:c>
      <x:c r="L68" t="str">
        <x:v>Development targets</x:v>
      </x:c>
      <x:c r="M68" t="str">
        <x:v>Not released product specifications</x:v>
      </x:c>
      <x:c r="N68" t="str">
        <x:v>NO</x:v>
      </x:c>
      <x:c r="O68" t="str">
        <x:v>IN REVIEW</x:v>
      </x:c>
      <x:c r="P68" t="str">
        <x:v>IN REVIEW</x:v>
      </x:c>
      <x:c r="Q68"/>
      <x:c r="R68" t="str">
        <x:v>SRC-033</x:v>
      </x:c>
      <x:c r="S68" t="str">
        <x:v>IN REVIEW</x:v>
      </x:c>
      <x:c r="T68" t="str">
        <x:v>Development status D.</x:v>
      </x:c>
    </x:row>
    <x:row r="69">
      <x:c r="A69" t="str">
        <x:v>CLM-065</x:v>
      </x:c>
      <x:c r="B69" t="str">
        <x:v>PF-LHEAT</x:v>
      </x:c>
      <x:c r="C69"/>
      <x:c r="D69" t="str">
        <x:v>Pure Liquid Heat</x:v>
      </x:c>
      <x:c r="E69" t="str">
        <x:v>no physical electricity-saving miracle; value through integration/zoning/control</x:v>
      </x:c>
      <x:c r="F69" t="str">
        <x:v>technical claim boundary</x:v>
      </x:c>
      <x:c r="G69" t="str">
        <x:v>SRC-034</x:v>
      </x:c>
      <x:c r="H69" t="str">
        <x:v>benefit can be explained through integration, targeted zone heating, controllability and demand-based runtime</x:v>
      </x:c>
      <x:c r="I69" t="str">
        <x:v>generic efficiency superiority, fixed savings percentages or &gt;100% efficiency</x:v>
      </x:c>
      <x:c r="J69" t="str">
        <x:v>application-specific comparative measurement</x:v>
      </x:c>
      <x:c r="K69" t="str">
        <x:v>B</x:v>
      </x:c>
      <x:c r="L69" t="str">
        <x:v>Positioning / comparison</x:v>
      </x:c>
      <x:c r="M69" t="str">
        <x:v>No generic energy-savings claim</x:v>
      </x:c>
      <x:c r="N69" t="str">
        <x:v>YES</x:v>
      </x:c>
      <x:c r="O69" t="str">
        <x:v>IN REVIEW</x:v>
      </x:c>
      <x:c r="P69" t="str">
        <x:v>IN REVIEW</x:v>
      </x:c>
      <x:c r="Q69" t="str">
        <x:v>/pure-liquid-heat#why</x:v>
      </x:c>
      <x:c r="R69" t="str">
        <x:v>SRC-034</x:v>
      </x:c>
      <x:c r="S69" t="str">
        <x:v>IN REVIEW</x:v>
      </x:c>
      <x:c r="T69" t="str">
        <x:v>High-value credibility claim.</x:v>
      </x:c>
    </x:row>
    <x:row r="70">
      <x:c r="A70" t="str">
        <x:v>CLM-066</x:v>
      </x:c>
      <x:c r="B70" t="str">
        <x:v>PF-SURFACE</x:v>
      </x:c>
      <x:c r="C70"/>
      <x:c r="D70" t="str">
        <x:v>Pure Surface Protect</x:v>
      </x:c>
      <x:c r="E70" t="str">
        <x:v>LANUV approx. 5,000 m² / 100 kg / 4 days / 4 people</x:v>
      </x:c>
      <x:c r="F70" t="str">
        <x:v>documented project reference</x:v>
      </x:c>
      <x:c r="G70" t="str">
        <x:v>SRC-035</x:v>
      </x:c>
      <x:c r="H70" t="str">
        <x:v>use as documented project figures with explicit source/dossier qualification</x:v>
      </x:c>
      <x:c r="I70" t="str">
        <x:v>independently verified long-term performance or universal installation productivity</x:v>
      </x:c>
      <x:c r="J70" t="str">
        <x:v>complete LANUV project dossier</x:v>
      </x:c>
      <x:c r="K70" t="str">
        <x:v>B</x:v>
      </x:c>
      <x:c r="L70" t="str">
        <x:v>LANUV project</x:v>
      </x:c>
      <x:c r="M70" t="str">
        <x:v>Project-specific figures</x:v>
      </x:c>
      <x:c r="N70" t="str">
        <x:v>WITH QUALIFICATION</x:v>
      </x:c>
      <x:c r="O70" t="str">
        <x:v>IN REVIEW</x:v>
      </x:c>
      <x:c r="P70" t="str">
        <x:v>N/A</x:v>
      </x:c>
      <x:c r="Q70" t="str">
        <x:v>/pure-surface-protect</x:v>
      </x:c>
      <x:c r="R70" t="str">
        <x:v>SRC-035</x:v>
      </x:c>
      <x:c r="S70" t="str">
        <x:v>IN REVIEW</x:v>
      </x:c>
      <x:c r="T70" t="str">
        <x:v>Do not upgrade to independent proof without dossier.</x:v>
      </x:c>
    </x:row>
    <x:row r="71">
      <x:c r="A71" t="str">
        <x:v>CLM-067</x:v>
      </x:c>
      <x:c r="B71" t="str">
        <x:v>PF-FLOOR</x:v>
      </x:c>
      <x:c r="C71"/>
      <x:c r="D71" t="str">
        <x:v>Pure Floor Protect</x:v>
      </x:c>
      <x:c r="E71" t="str">
        <x:v>TLC 2022004 detailed abrasion + DIBt reference</x:v>
      </x:c>
      <x:c r="F71" t="str">
        <x:v>secondary documentation of test/regulatory references</x:v>
      </x:c>
      <x:c r="G71" t="str">
        <x:v>SRC-035</x:v>
      </x:c>
      <x:c r="H71" t="str">
        <x:v>state only that the current documentation cites these test/approval references pending original verification</x:v>
      </x:c>
      <x:c r="I71" t="str">
        <x:v>current general DIBt approval / A evidence without originals</x:v>
      </x:c>
      <x:c r="J71" t="str">
        <x:v>obtain original TLC and DIBt documents and map product identity</x:v>
      </x:c>
      <x:c r="K71" t="str">
        <x:v>B</x:v>
      </x:c>
      <x:c r="L71" t="str">
        <x:v>Documented Floor Protect system</x:v>
      </x:c>
      <x:c r="M71" t="str">
        <x:v>Secondary evidence source</x:v>
      </x:c>
      <x:c r="N71" t="str">
        <x:v>REVIEW REQUIRED</x:v>
      </x:c>
      <x:c r="O71" t="str">
        <x:v>IN REVIEW</x:v>
      </x:c>
      <x:c r="P71" t="str">
        <x:v>IN REVIEW</x:v>
      </x:c>
      <x:c r="Q71" t="str">
        <x:v>/pure-floor-protect</x:v>
      </x:c>
      <x:c r="R71" t="str">
        <x:v>SRC-035</x:v>
      </x:c>
      <x:c r="S71" t="str">
        <x:v>IN REVIEW</x:v>
      </x:c>
      <x:c r="T71" t="str">
        <x:v>Originals required before A/regulatory approval.</x:v>
      </x:c>
    </x:row>
    <x:row r="72">
      <x:c r="A72" t="str">
        <x:v>CLM-068</x:v>
      </x:c>
      <x:c r="B72" t="str">
        <x:v>PF-WATER</x:v>
      </x:c>
      <x:c r="C72"/>
      <x:c r="D72" t="str">
        <x:v>Pure Water Protect</x:v>
      </x:c>
      <x:c r="E72" t="str">
        <x:v>Hydrotox report 4493 / 64-day DSLT eco-/genotoxicity details</x:v>
      </x:c>
      <x:c r="F72" t="str">
        <x:v>external test reported in secondary source</x:v>
      </x:c>
      <x:c r="G72" t="str">
        <x:v>SRC-035</x:v>
      </x:c>
      <x:c r="H72" t="str">
        <x:v>may be described as documented external testing of the stated eluate/system, with system-specific scope and pending original report</x:v>
      </x:c>
      <x:c r="I72" t="str">
        <x:v>general environmental harmlessness / A evidence without original report</x:v>
      </x:c>
      <x:c r="J72" t="str">
        <x:v>obtain Hydrotox 4493 + test-object/formulation mapping</x:v>
      </x:c>
      <x:c r="K72" t="str">
        <x:v>B</x:v>
      </x:c>
      <x:c r="L72" t="str">
        <x:v>Tested coated-glass system / eluate</x:v>
      </x:c>
      <x:c r="M72" t="str">
        <x:v>Original report not yet in website evidence chain</x:v>
      </x:c>
      <x:c r="N72" t="str">
        <x:v>WITH QUALIFICATION</x:v>
      </x:c>
      <x:c r="O72" t="str">
        <x:v>IN REVIEW</x:v>
      </x:c>
      <x:c r="P72" t="str">
        <x:v>IN REVIEW</x:v>
      </x:c>
      <x:c r="Q72" t="str">
        <x:v>/pure-water-protect</x:v>
      </x:c>
      <x:c r="R72" t="str">
        <x:v>SRC-035</x:v>
      </x:c>
      <x:c r="S72" t="str">
        <x:v>IN REVIEW</x:v>
      </x:c>
      <x:c r="T72" t="str">
        <x:v>Do not promote to A until original evidence is controlled.</x:v>
      </x:c>
    </x:row>
    <x:row r="73">
      <x:c r="A73" t="str">
        <x:v>CLM-069</x:v>
      </x:c>
      <x:c r="B73" t="str">
        <x:v>PF-BOAT</x:v>
      </x:c>
      <x:c r="C73"/>
      <x:c r="D73" t="str">
        <x:v>Pure Boat Protect</x:v>
      </x:c>
      <x:c r="E73" t="str">
        <x:v>historical friction values GRZ 0.07 / HRZ 0.09</x:v>
      </x:c>
      <x:c r="F73" t="str">
        <x:v>historical internal documentation</x:v>
      </x:c>
      <x:c r="G73" t="str">
        <x:v>SRC-036</x:v>
      </x:c>
      <x:c r="H73" t="str">
        <x:v>no public wording; retain only as internal verification lead</x:v>
      </x:c>
      <x:c r="I73" t="str">
        <x:v>fuel savings, speed gain or current friction guarantee</x:v>
      </x:c>
      <x:c r="J73" t="str">
        <x:v>recover original method/lab/test report and current-recipe mapping</x:v>
      </x:c>
      <x:c r="K73" t="str">
        <x:v>B</x:v>
      </x:c>
      <x:c r="L73" t="str">
        <x:v>Historical formulation</x:v>
      </x:c>
      <x:c r="M73" t="str">
        <x:v>Unverified method and transferability</x:v>
      </x:c>
      <x:c r="N73" t="str">
        <x:v>NO</x:v>
      </x:c>
      <x:c r="O73" t="str">
        <x:v>NOT STARTED</x:v>
      </x:c>
      <x:c r="P73" t="str">
        <x:v>N/A</x:v>
      </x:c>
      <x:c r="Q73"/>
      <x:c r="R73" t="str">
        <x:v>SRC-036</x:v>
      </x:c>
      <x:c r="S73" t="str">
        <x:v>HOLD</x:v>
      </x:c>
      <x:c r="T73" t="str">
        <x:v>Historical evidence backlog only.</x:v>
      </x:c>
    </x:row>
  </x:sheetData>
  <x:mergeCells>
    <x:mergeCell ref="A1:T1"/>
    <x:mergeCell ref="A2:T2"/>
  </x:mergeCells>
  <x:conditionalFormatting sqref="N5:N1000">
    <x:cfRule type="expression" dxfId="3" priority="1">
      <x:formula>N5="REVIEW REQUIRED"</x:formula>
    </x:cfRule>
    <x:cfRule type="expression" dxfId="4" priority="2">
      <x:formula>N5="YES"</x:formula>
    </x:cfRule>
    <x:cfRule type="expression" dxfId="5" priority="3">
      <x:formula>N5="NO"</x:formula>
    </x:cfRule>
  </x:conditionalFormatting>
  <x:dataValidations count="4">
    <x:dataValidation type="list" sqref="K5:K1000">
      <x:formula1>99_LISTS!$A$4:$A$8</x:formula1>
    </x:dataValidation>
    <x:dataValidation type="list" sqref="N5:N1000">
      <x:formula1>99_LISTS!$F$4:$F$7</x:formula1>
    </x:dataValidation>
    <x:dataValidation type="list" sqref="O5:P1000">
      <x:formula1>99_LISTS!$G$4:$G$8</x:formula1>
    </x:dataValidation>
    <x:dataValidation type="list" sqref="S5:S1000">
      <x:formula1>99_LISTS!$E$4:$E$8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4aa0d1da0244c04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26" hidden="0" customWidth="1"/>
    <x:col min="5" max="5" width="24" hidden="0" customWidth="1"/>
    <x:col min="6" max="6" width="34" hidden="0" customWidth="1"/>
    <x:col min="7" max="7" width="28" hidden="0" customWidth="1"/>
    <x:col min="8" max="8" width="20" hidden="0" customWidth="1"/>
    <x:col min="9" max="9" width="34" hidden="0" customWidth="1"/>
    <x:col min="10" max="10" width="15" hidden="0" customWidth="1"/>
    <x:col min="11" max="11" width="16" hidden="0" customWidth="1"/>
    <x:col min="12" max="12" width="18" hidden="0" customWidth="1"/>
    <x:col min="13" max="13" width="18" hidden="0" customWidth="1"/>
    <x:col min="14" max="14" width="36" hidden="0" customWidth="1"/>
    <x:col min="15" max="15" width="14" hidden="0" customWidth="1"/>
    <x:col min="16" max="16" width="14" hidden="0" customWidth="1"/>
    <x:col min="17" max="17" width="14" hidden="0" customWidth="1"/>
    <x:col min="18" max="18" width="40" hidden="0" customWidth="1"/>
    <x:col min="19" max="19" width="16" hidden="0" customWidth="1"/>
    <x:col min="20" max="20" width="16" hidden="0" customWidth="1"/>
    <x:col min="21" max="21" width="18" hidden="0" customWidth="1"/>
    <x:col min="22" max="22" width="40" hidden="0" customWidth="1"/>
  </x:cols>
  <x:sheetData>
    <x:row r="1" ht="26" customHeight="1">
      <x:c r="A1" s="4" t="str">
        <x:v>05 · VISUAL MASTER</x:v>
      </x:c>
    </x:row>
    <x:row r="2" ht="42" customHeight="1">
      <x:c r="A2" s="11" t="str">
        <x:v>Noch keine Bilder erzeugen: zuerst Content-/Dokumentenlücken, dann Visualbedarf. Reale Evidenzbilder und generierte Kommunikationsvisuals bleiben getrennt.</x:v>
      </x:c>
    </x:row>
    <x:row r="4" ht="34" customHeight="1">
      <x:c r="A4" s="20" t="str">
        <x:v>VISUAL-ID</x:v>
      </x:c>
      <x:c r="B4" s="20" t="str">
        <x:v>PRODUCT FAMILY ID</x:v>
      </x:c>
      <x:c r="C4" s="20" t="str">
        <x:v>SYSTEM / VARIANT ID</x:v>
      </x:c>
      <x:c r="D4" s="20" t="str">
        <x:v>PAGE</x:v>
      </x:c>
      <x:c r="E4" s="20" t="str">
        <x:v>SECTION</x:v>
      </x:c>
      <x:c r="F4" s="20" t="str">
        <x:v>PURPOSE</x:v>
      </x:c>
      <x:c r="G4" s="20" t="str">
        <x:v>VISUAL TYPE</x:v>
      </x:c>
      <x:c r="H4" s="20" t="str">
        <x:v>SOURCE MATERIAL AVAILABLE</x:v>
      </x:c>
      <x:c r="I4" s="20" t="str">
        <x:v>EXISTING ASSET</x:v>
      </x:c>
      <x:c r="J4" s="20" t="str">
        <x:v>USABLE AS-IS</x:v>
      </x:c>
      <x:c r="K4" s="20" t="str">
        <x:v>REWORK REQUIRED</x:v>
      </x:c>
      <x:c r="L4" s="20" t="str">
        <x:v>NEW GENERATION REQUIRED</x:v>
      </x:c>
      <x:c r="M4" s="20" t="str">
        <x:v>TECHNICAL ACCURACY REQUIRED</x:v>
      </x:c>
      <x:c r="N4" s="20" t="str">
        <x:v>STYLE</x:v>
      </x:c>
      <x:c r="O4" s="20" t="str">
        <x:v>ASPECT RATIO</x:v>
      </x:c>
      <x:c r="P4" s="20" t="str">
        <x:v>DESKTOP USE</x:v>
      </x:c>
      <x:c r="Q4" s="20" t="str">
        <x:v>MOBILE USE</x:v>
      </x:c>
      <x:c r="R4" s="20" t="str">
        <x:v>ALT TEXT</x:v>
      </x:c>
      <x:c r="S4" s="20" t="str">
        <x:v>STATUS</x:v>
      </x:c>
      <x:c r="T4" s="20" t="str">
        <x:v>SOURCE-ID</x:v>
      </x:c>
      <x:c r="U4" s="20" t="str">
        <x:v>RIGHTS STATUS</x:v>
      </x:c>
      <x:c r="V4" s="20" t="str">
        <x:v>NOTES</x:v>
      </x:c>
    </x:row>
    <x:row r="5" ht="42" customHeight="1">
      <x:c r="A5" s="28" t="str">
        <x:v>VIS-PLAT-001</x:v>
      </x:c>
      <x:c r="B5" s="28" t="str">
        <x:v>PLATFORM-001</x:v>
      </x:c>
      <x:c r="C5" s="28" t="str"/>
      <x:c r="D5" s="28" t="str">
        <x:v>/</x:v>
      </x:c>
      <x:c r="E5" s="28" t="str">
        <x:v>Hero</x:v>
      </x:c>
      <x:c r="F5" s="28" t="str">
        <x:v>Technology platform hero</x:v>
      </x:c>
      <x:c r="G5" s="28" t="str">
        <x:v>HERO IMAGE</x:v>
      </x:c>
      <x:c r="H5" s="28" t="str">
        <x:v>YES</x:v>
      </x:c>
      <x:c r="I5" s="28" t="str">
        <x:v>Transluzente funktionale Materialschichten über dunklem mineralischen Substrat</x:v>
      </x:c>
      <x:c r="J5" s="28" t="str">
        <x:v>YES</x:v>
      </x:c>
      <x:c r="K5" s="28" t="str">
        <x:v>NO</x:v>
      </x:c>
      <x:c r="L5" s="28" t="str">
        <x:v>NO</x:v>
      </x:c>
      <x:c r="M5" s="28" t="str">
        <x:v>YES</x:v>
      </x:c>
      <x:c r="N5" s="28" t="str">
        <x:v>Material science + high-end engineering + architecture + deep tech</x:v>
      </x:c>
      <x:c r="O5" s="28" t="str">
        <x:v>16:9</x:v>
      </x:c>
      <x:c r="P5" s="28" t="str">
        <x:v>YES</x:v>
      </x:c>
      <x:c r="Q5" s="28" t="str">
        <x:v>YES</x:v>
      </x:c>
      <x:c r="R5" s="28" t="str">
        <x:v>PURE functional coating technology platform</x:v>
      </x:c>
      <x:c r="S5" s="28" t="str">
        <x:v>LIVE</x:v>
      </x:c>
      <x:c r="T5" s="28"/>
      <x:c r="U5" s="28" t="str">
        <x:v>OPEN</x:v>
      </x:c>
      <x:c r="V5" s="28" t="str">
        <x:v>Production visual live 12.09.2026; generated communication visual, not evidence.</x:v>
      </x:c>
    </x:row>
    <x:row r="6" ht="42" customHeight="1">
      <x:c r="A6" s="28" t="str">
        <x:v>VIS-PT-001</x:v>
      </x:c>
      <x:c r="B6" s="28" t="str">
        <x:v>PF-THERMO</x:v>
      </x:c>
      <x:c r="C6" s="28" t="str"/>
      <x:c r="D6" s="28" t="str">
        <x:v>/pure-thermo</x:v>
      </x:c>
      <x:c r="E6" s="28" t="str">
        <x:v>Technology principle</x:v>
      </x:c>
      <x:c r="F6" s="28" t="str">
        <x:v>Explain material/system principle</x:v>
      </x:c>
      <x:c r="G6" s="28" t="str">
        <x:v>SYSTEM CROSS-SECTION</x:v>
      </x:c>
      <x:c r="H6" s="28" t="str">
        <x:v>YES</x:v>
      </x:c>
      <x:c r="I6" s="28" t="str">
        <x:v>Current PURE THERMO hero + system/build-up visuals + Materialstrukturansicht</x:v>
      </x:c>
      <x:c r="J6" s="28" t="str">
        <x:v>YES</x:v>
      </x:c>
      <x:c r="K6" s="28" t="str">
        <x:v>NO</x:v>
      </x:c>
      <x:c r="L6" s="28" t="str">
        <x:v>NO</x:v>
      </x:c>
      <x:c r="M6" s="28" t="str">
        <x:v>YES</x:v>
      </x:c>
      <x:c r="N6" s="28" t="str">
        <x:v>Precise technical / material-language visuals; no artistic claim inflation</x:v>
      </x:c>
      <x:c r="O6" s="28" t="str">
        <x:v>16:9</x:v>
      </x:c>
      <x:c r="P6" s="28" t="str">
        <x:v>YES</x:v>
      </x:c>
      <x:c r="Q6" s="28" t="str">
        <x:v>YES</x:v>
      </x:c>
      <x:c r="R6" s="28" t="str">
        <x:v>PURE THERMO material and system principle</x:v>
      </x:c>
      <x:c r="S6" s="28" t="str">
        <x:v>LIVE</x:v>
      </x:c>
      <x:c r="T6" s="28"/>
      <x:c r="U6" s="28" t="str">
        <x:v>OPEN</x:v>
      </x:c>
      <x:c r="V6" s="28" t="str">
        <x:v>Production implementation available; technical diagrams remain controlled by verified system wording.</x:v>
      </x:c>
    </x:row>
    <x:row r="7">
      <x:c r="A7" s="57" t="str">
        <x:v>VIS-LH-001</x:v>
      </x:c>
      <x:c r="B7" s="57" t="str">
        <x:v>PF-LHEAT</x:v>
      </x:c>
      <x:c r="C7" s="57" t="str">
        <x:v>SYS-LH-OUT</x:v>
      </x:c>
      <x:c r="D7" s="57" t="str">
        <x:v>/pure-liquid-heat</x:v>
      </x:c>
      <x:c r="E7" s="57" t="str">
        <x:v>Hero / Outdoor Hospitality</x:v>
      </x:c>
      <x:c r="F7" s="57" t="str">
        <x:v>Show integrated heat as premium design function</x:v>
      </x:c>
      <x:c r="G7" s="57" t="str">
        <x:v>HERO IMAGE</x:v>
      </x:c>
      <x:c r="H7" s="57" t="str">
        <x:v>YES</x:v>
      </x:c>
      <x:c r="I7" s="57" t="str">
        <x:v>Master Deck p.1 pyramid/HotCube terrace visual</x:v>
      </x:c>
      <x:c r="J7" s="57" t="str">
        <x:v>YES</x:v>
      </x:c>
      <x:c r="K7" s="57" t="str">
        <x:v>YES</x:v>
      </x:c>
      <x:c r="L7" s="57" t="str">
        <x:v>NO</x:v>
      </x:c>
      <x:c r="M7" s="57" t="str">
        <x:v>MEDIUM</x:v>
      </x:c>
      <x:c r="N7" s="57" t="str">
        <x:v>PURE style; premium outdoor; no sci-fi</x:v>
      </x:c>
      <x:c r="O7" s="57" t="str">
        <x:v>16:9</x:v>
      </x:c>
      <x:c r="P7" s="57" t="str">
        <x:v>YES</x:v>
      </x:c>
      <x:c r="Q7" s="57" t="str">
        <x:v>YES</x:v>
      </x:c>
      <x:c r="R7" s="57" t="str">
        <x:v>PURE LIQUID HEAT integrated outdoor heating concept</x:v>
      </x:c>
      <x:c r="S7" s="57" t="str">
        <x:v>SOURCE AVAILABLE</x:v>
      </x:c>
      <x:c r="T7" s="57" t="str">
        <x:v>SRC-010</x:v>
      </x:c>
      <x:c r="U7" s="57" t="str">
        <x:v>OPEN</x:v>
      </x:c>
      <x:c r="V7" s="57" t="str">
        <x:v>Strong visual direction; rights/source asset must be confirmed before production use.</x:v>
      </x:c>
    </x:row>
    <x:row r="8">
      <x:c r="A8" s="57" t="str">
        <x:v>VIS-LH-002</x:v>
      </x:c>
      <x:c r="B8" s="57" t="str">
        <x:v>PF-LHEAT</x:v>
      </x:c>
      <x:c r="C8" s="57"/>
      <x:c r="D8" s="57" t="str">
        <x:v>/pure-liquid-heat</x:v>
      </x:c>
      <x:c r="E8" s="57" t="str">
        <x:v>System build-up</x:v>
      </x:c>
      <x:c r="F8" s="57" t="str">
        <x:v>Explain corrected layer/system architecture</x:v>
      </x:c>
      <x:c r="G8" s="57" t="str">
        <x:v>SYSTEM CROSS-SECTION</x:v>
      </x:c>
      <x:c r="H8" s="57" t="str">
        <x:v>YES</x:v>
      </x:c>
      <x:c r="I8" s="57" t="str">
        <x:v>Master Deck pp.5/7/10 system graphics</x:v>
      </x:c>
      <x:c r="J8" s="57" t="str">
        <x:v>NO</x:v>
      </x:c>
      <x:c r="K8" s="57" t="str">
        <x:v>YES</x:v>
      </x:c>
      <x:c r="L8" s="57" t="str">
        <x:v>YES</x:v>
      </x:c>
      <x:c r="M8" s="57" t="str">
        <x:v>YES</x:v>
      </x:c>
      <x:c r="N8" s="57" t="str">
        <x:v>Precise technical diagram; current corrected substrate scope</x:v>
      </x:c>
      <x:c r="O8" s="57" t="str">
        <x:v>16:9</x:v>
      </x:c>
      <x:c r="P8" s="57" t="str">
        <x:v>YES</x:v>
      </x:c>
      <x:c r="Q8" s="57" t="str">
        <x:v>YES</x:v>
      </x:c>
      <x:c r="R8" s="57" t="str">
        <x:v>PURE LIQUID HEAT system build-up from substrate to safety and optional protection</x:v>
      </x:c>
      <x:c r="S8" s="57" t="str">
        <x:v>NEEDED</x:v>
      </x:c>
      <x:c r="T8" s="57" t="str">
        <x:v>SRC-032</x:v>
      </x:c>
      <x:c r="U8" s="57" t="str">
        <x:v>OPEN</x:v>
      </x:c>
      <x:c r="V8" s="57" t="str">
        <x:v>Rebuild. Must show only GFB/GFK/Vermiculite, no primer, optional protection layer.</x:v>
      </x:c>
    </x:row>
    <x:row r="9">
      <x:c r="A9" s="57" t="str">
        <x:v>VIS-LH-003</x:v>
      </x:c>
      <x:c r="B9" s="57" t="str">
        <x:v>PF-LHEAT</x:v>
      </x:c>
      <x:c r="C9" s="57"/>
      <x:c r="D9" s="57" t="str">
        <x:v>/pure-liquid-heat</x:v>
      </x:c>
      <x:c r="E9" s="57" t="str">
        <x:v>How it works</x:v>
      </x:c>
      <x:c r="F9" s="57" t="str">
        <x:v>Explain resistance heating and heat distribution</x:v>
      </x:c>
      <x:c r="G9" s="57" t="str">
        <x:v>FUNCTIONAL EXPLANATION</x:v>
      </x:c>
      <x:c r="H9" s="57" t="str">
        <x:v>YES</x:v>
      </x:c>
      <x:c r="I9" s="57" t="str">
        <x:v>Master Deck p.8 mechanism graphic</x:v>
      </x:c>
      <x:c r="J9" s="57" t="str">
        <x:v>NO</x:v>
      </x:c>
      <x:c r="K9" s="57" t="str">
        <x:v>YES</x:v>
      </x:c>
      <x:c r="L9" s="57" t="str">
        <x:v>YES</x:v>
      </x:c>
      <x:c r="M9" s="57" t="str">
        <x:v>YES</x:v>
      </x:c>
      <x:c r="N9" s="57" t="str">
        <x:v>Controlled engineering diagram; no exaggerated heat effects</x:v>
      </x:c>
      <x:c r="O9" s="57" t="str">
        <x:v>16:9</x:v>
      </x:c>
      <x:c r="P9" s="57" t="str">
        <x:v>YES</x:v>
      </x:c>
      <x:c r="Q9" s="57" t="str">
        <x:v>YES</x:v>
      </x:c>
      <x:c r="R9" s="57" t="str">
        <x:v>Electrical resistance heating in the PURE LIQUID HEAT functional layer</x:v>
      </x:c>
      <x:c r="S9" s="57" t="str">
        <x:v>NEEDED</x:v>
      </x:c>
      <x:c r="T9" s="57" t="str">
        <x:v>SRC-010</x:v>
      </x:c>
      <x:c r="U9" s="57" t="str">
        <x:v>OPEN</x:v>
      </x:c>
      <x:c r="V9" s="57" t="str">
        <x:v>Use source only as technical basis; redraw to PURE website language.</x:v>
      </x:c>
    </x:row>
    <x:row r="10">
      <x:c r="A10" s="57" t="str">
        <x:v>VIS-LH-004</x:v>
      </x:c>
      <x:c r="B10" s="57" t="str">
        <x:v>PF-LHEAT</x:v>
      </x:c>
      <x:c r="C10" s="57" t="str">
        <x:v>SYS-LH-OUT</x:v>
      </x:c>
      <x:c r="D10" s="57" t="str">
        <x:v>/pure-liquid-heat</x:v>
      </x:c>
      <x:c r="E10" s="57" t="str">
        <x:v>Applications / heated seating</x:v>
      </x:c>
      <x:c r="F10" s="57" t="str">
        <x:v>Show product integration in seating</x:v>
      </x:c>
      <x:c r="G10" s="57" t="str">
        <x:v>REAL APPLICATION PHOTO</x:v>
      </x:c>
      <x:c r="H10" s="57" t="str">
        <x:v>YES</x:v>
      </x:c>
      <x:c r="I10" s="57" t="str">
        <x:v>Bench report pp.1–7 contains renders / concept imagery</x:v>
      </x:c>
      <x:c r="J10" s="57" t="str">
        <x:v>NO</x:v>
      </x:c>
      <x:c r="K10" s="57" t="str">
        <x:v>YES</x:v>
      </x:c>
      <x:c r="L10" s="57" t="str">
        <x:v>NO</x:v>
      </x:c>
      <x:c r="M10" s="57" t="str">
        <x:v>MEDIUM</x:v>
      </x:c>
      <x:c r="N10" s="57" t="str">
        <x:v>Premium hospitality; clearly label concept if render</x:v>
      </x:c>
      <x:c r="O10" s="57" t="str">
        <x:v>4:3</x:v>
      </x:c>
      <x:c r="P10" s="57" t="str">
        <x:v>YES</x:v>
      </x:c>
      <x:c r="Q10" s="57" t="str">
        <x:v>YES</x:v>
      </x:c>
      <x:c r="R10" s="57" t="str">
        <x:v>Heated seating concept with integrated PURE LIQUID HEAT layer</x:v>
      </x:c>
      <x:c r="S10" s="57" t="str">
        <x:v>SOURCE AVAILABLE</x:v>
      </x:c>
      <x:c r="T10" s="57" t="str">
        <x:v>SRC-001</x:v>
      </x:c>
      <x:c r="U10" s="57" t="str">
        <x:v>OPEN</x:v>
      </x:c>
      <x:c r="V10" s="57" t="str">
        <x:v>Current images appear concept/rendered; do not present as proven real reference without source confirmation.</x:v>
      </x:c>
    </x:row>
    <x:row r="11">
      <x:c r="A11" s="57" t="str">
        <x:v>VIS-LH-005</x:v>
      </x:c>
      <x:c r="B11" s="57" t="str">
        <x:v>PF-LHEAT</x:v>
      </x:c>
      <x:c r="C11" s="57" t="str">
        <x:v>SYS-LH-OUT</x:v>
      </x:c>
      <x:c r="D11" s="57" t="str">
        <x:v>/pure-liquid-heat</x:v>
      </x:c>
      <x:c r="E11" s="57" t="str">
        <x:v>Applications / heated table base</x:v>
      </x:c>
      <x:c r="F11" s="57" t="str">
        <x:v>Show advanced furniture integration concept</x:v>
      </x:c>
      <x:c r="G11" s="57" t="str">
        <x:v>REAL APPLICATION PHOTO</x:v>
      </x:c>
      <x:c r="H11" s="57" t="str">
        <x:v>YES</x:v>
      </x:c>
      <x:c r="I11" s="57" t="str">
        <x:v>Heizfuß concept pp.1,4–6 design studies</x:v>
      </x:c>
      <x:c r="J11" s="57" t="str">
        <x:v>NO</x:v>
      </x:c>
      <x:c r="K11" s="57" t="str">
        <x:v>YES</x:v>
      </x:c>
      <x:c r="L11" s="57" t="str">
        <x:v>NO</x:v>
      </x:c>
      <x:c r="M11" s="57" t="str">
        <x:v>MEDIUM</x:v>
      </x:c>
      <x:c r="N11" s="57" t="str">
        <x:v>High-end terrace furniture; concept badge required</x:v>
      </x:c>
      <x:c r="O11" s="57" t="str">
        <x:v>4:3</x:v>
      </x:c>
      <x:c r="P11" s="57" t="str">
        <x:v>YES</x:v>
      </x:c>
      <x:c r="Q11" s="57" t="str">
        <x:v>YES</x:v>
      </x:c>
      <x:c r="R11" s="57" t="str">
        <x:v>PureHeat Prism heated table-base development concept</x:v>
      </x:c>
      <x:c r="S11" s="57" t="str">
        <x:v>SOURCE AVAILABLE</x:v>
      </x:c>
      <x:c r="T11" s="57" t="str">
        <x:v>SRC-006</x:v>
      </x:c>
      <x:c r="U11" s="57" t="str">
        <x:v>OPEN</x:v>
      </x:c>
      <x:c r="V11" s="57" t="str">
        <x:v>Design studies, not validated product photos.</x:v>
      </x:c>
    </x:row>
    <x:row r="12">
      <x:c r="A12" s="57" t="str">
        <x:v>VIS-LH-006</x:v>
      </x:c>
      <x:c r="B12" s="57" t="str">
        <x:v>PF-LHEAT</x:v>
      </x:c>
      <x:c r="C12" s="57" t="str">
        <x:v>SYS-LH-INT</x:v>
      </x:c>
      <x:c r="D12" s="57" t="str">
        <x:v>/pure-liquid-heat</x:v>
      </x:c>
      <x:c r="E12" s="57" t="str">
        <x:v>Applications / panels</x:v>
      </x:c>
      <x:c r="F12" s="57" t="str">
        <x:v>Show existing user/prototype images for panels and slim modules</x:v>
      </x:c>
      <x:c r="G12" s="57" t="str">
        <x:v>REAL PRODUCT PHOTO</x:v>
      </x:c>
      <x:c r="H12" s="57" t="str">
        <x:v>YES</x:v>
      </x:c>
      <x:c r="I12" s="57" t="str">
        <x:v>Corrected application overview: user images / branded wall panel / slim module</x:v>
      </x:c>
      <x:c r="J12" s="57" t="str">
        <x:v>PENDING</x:v>
      </x:c>
      <x:c r="K12" s="57" t="str">
        <x:v>PENDING</x:v>
      </x:c>
      <x:c r="L12" s="57" t="str">
        <x:v>NO</x:v>
      </x:c>
      <x:c r="M12" s="57" t="str">
        <x:v>MEDIUM</x:v>
      </x:c>
      <x:c r="N12" s="57" t="str">
        <x:v>Real material/prototype first; clean crop, no PowerPoint framing</x:v>
      </x:c>
      <x:c r="O12" s="57" t="str">
        <x:v>4:3</x:v>
      </x:c>
      <x:c r="P12" s="57" t="str">
        <x:v>YES</x:v>
      </x:c>
      <x:c r="Q12" s="57" t="str">
        <x:v>YES</x:v>
      </x:c>
      <x:c r="R12" s="57" t="str">
        <x:v>PURE LIQUID HEAT panel and module prototype imagery</x:v>
      </x:c>
      <x:c r="S12" s="57" t="str">
        <x:v>SOURCE AVAILABLE</x:v>
      </x:c>
      <x:c r="T12" s="57" t="str">
        <x:v>SRC-032</x:v>
      </x:c>
      <x:c r="U12" s="57" t="str">
        <x:v>OPEN</x:v>
      </x:c>
      <x:c r="V12" s="57" t="str">
        <x:v>Extract original-resolution assets and verify image rights / actual prototype status.</x:v>
      </x:c>
    </x:row>
    <x:row r="13">
      <x:c r="A13" s="57" t="str">
        <x:v>VIS-LH-007</x:v>
      </x:c>
      <x:c r="B13" s="57" t="str">
        <x:v>PF-LHEAT</x:v>
      </x:c>
      <x:c r="C13" s="57"/>
      <x:c r="D13" s="57" t="str">
        <x:v>/pure-liquid-heat</x:v>
      </x:c>
      <x:c r="E13" s="57" t="str">
        <x:v>Evidence &amp; validation</x:v>
      </x:c>
      <x:c r="F13" s="57" t="str">
        <x:v>Distinguish what exists from what remains to validate</x:v>
      </x:c>
      <x:c r="G13" s="57" t="str">
        <x:v>PROCESS DIAGRAM</x:v>
      </x:c>
      <x:c r="H13" s="57" t="str">
        <x:v>YES</x:v>
      </x:c>
      <x:c r="I13" s="57" t="str">
        <x:v>Portugal internal reference + Master Deck validation roadmap</x:v>
      </x:c>
      <x:c r="J13" s="57" t="str">
        <x:v>NO</x:v>
      </x:c>
      <x:c r="K13" s="57" t="str">
        <x:v>YES</x:v>
      </x:c>
      <x:c r="L13" s="57" t="str">
        <x:v>YES</x:v>
      </x:c>
      <x:c r="M13" s="57" t="str">
        <x:v>YES</x:v>
      </x:c>
      <x:c r="N13" s="57" t="str">
        <x:v>Evidence-first PURE governance; A/B/C/D compatible</x:v>
      </x:c>
      <x:c r="O13" s="57" t="str">
        <x:v>16:9</x:v>
      </x:c>
      <x:c r="P13" s="57" t="str">
        <x:v>YES</x:v>
      </x:c>
      <x:c r="Q13" s="57" t="str">
        <x:v>YES</x:v>
      </x:c>
      <x:c r="R13" s="57" t="str">
        <x:v>PURE LIQUID HEAT evidence and validation path</x:v>
      </x:c>
      <x:c r="S13" s="57" t="str">
        <x:v>NEEDED</x:v>
      </x:c>
      <x:c r="T13" s="57" t="str">
        <x:v>SRC-031</x:v>
      </x:c>
      <x:c r="U13" s="57" t="str">
        <x:v>N/A</x:v>
      </x:c>
      <x:c r="V13" s="57" t="str">
        <x:v>Show internal 24/7 reference separately from planned external qualification.</x:v>
      </x:c>
    </x:row>
    <x:row r="14">
      <x:c r="A14" s="57" t="str">
        <x:v>VIS-LH-008</x:v>
      </x:c>
      <x:c r="B14" s="57" t="str">
        <x:v>PF-LHEAT</x:v>
      </x:c>
      <x:c r="C14" s="57"/>
      <x:c r="D14" s="57" t="str">
        <x:v>/pure-liquid-heat</x:v>
      </x:c>
      <x:c r="E14" s="57" t="str">
        <x:v>Application worlds</x:v>
      </x:c>
      <x:c r="F14" s="57" t="str">
        <x:v>Four application worlds: Outdoor, Interior, OEM, Technical</x:v>
      </x:c>
      <x:c r="G14" s="57" t="str">
        <x:v>ABSTRACT TECHNOLOGY VISUAL</x:v>
      </x:c>
      <x:c r="H14" s="57" t="str">
        <x:v>YES</x:v>
      </x:c>
      <x:c r="I14" s="57" t="str">
        <x:v>Multiple source application visuals</x:v>
      </x:c>
      <x:c r="J14" s="57" t="str">
        <x:v>NO</x:v>
      </x:c>
      <x:c r="K14" s="57" t="str">
        <x:v>YES</x:v>
      </x:c>
      <x:c r="L14" s="57" t="str">
        <x:v>YES</x:v>
      </x:c>
      <x:c r="M14" s="57" t="str">
        <x:v>MEDIUM</x:v>
      </x:c>
      <x:c r="N14" s="57" t="str">
        <x:v>Unified PURE application grid; calm engineering photography</x:v>
      </x:c>
      <x:c r="O14" s="57" t="str">
        <x:v>16:9</x:v>
      </x:c>
      <x:c r="P14" s="57" t="str">
        <x:v>YES</x:v>
      </x:c>
      <x:c r="Q14" s="57" t="str">
        <x:v>YES</x:v>
      </x:c>
      <x:c r="R14" s="57" t="str">
        <x:v>PURE LIQUID HEAT application worlds</x:v>
      </x:c>
      <x:c r="S14" s="57" t="str">
        <x:v>NEEDED</x:v>
      </x:c>
      <x:c r="T14" s="57" t="str">
        <x:v>SRC-010</x:v>
      </x:c>
      <x:c r="U14" s="57" t="str">
        <x:v>OPEN</x:v>
      </x:c>
      <x:c r="V14" s="57" t="str">
        <x:v>Can combine verified real assets with clearly labelled concept visuals after rights review.</x:v>
      </x:c>
    </x:row>
    <x:row r="15">
      <x:c r="A15" s="57" t="str">
        <x:v>VIS-PT-APP-001</x:v>
      </x:c>
      <x:c r="B15" s="57" t="str">
        <x:v>PF-THERMO</x:v>
      </x:c>
      <x:c r="C15" s="57"/>
      <x:c r="D15" s="57" t="str">
        <x:v>/pure-thermo</x:v>
      </x:c>
      <x:c r="E15" s="57" t="str">
        <x:v>Critical locations</x:v>
      </x:c>
      <x:c r="F15" s="57" t="str">
        <x:v>Differentiate six thermally relevant contexts</x:v>
      </x:c>
      <x:c r="G15" s="57" t="str">
        <x:v>APPLICATION IMAGES</x:v>
      </x:c>
      <x:c r="H15" s="57" t="str">
        <x:v>YES</x:v>
      </x:c>
      <x:c r="I15" s="57" t="str">
        <x:v>Window detail; cool interior; existing stone; ornate geometry; cellar; technical surface</x:v>
      </x:c>
      <x:c r="J15" s="57" t="str">
        <x:v>YES</x:v>
      </x:c>
      <x:c r="K15" s="57" t="str">
        <x:v>NO</x:v>
      </x:c>
      <x:c r="L15" s="57" t="str">
        <x:v>NO</x:v>
      </x:c>
      <x:c r="M15" s="57" t="str">
        <x:v>MEDIUM</x:v>
      </x:c>
      <x:c r="N15" s="57" t="str">
        <x:v>Calm architecture; technical relevance; distinct crops</x:v>
      </x:c>
      <x:c r="O15" s="57" t="str">
        <x:v>3:2</x:v>
      </x:c>
      <x:c r="P15" s="57" t="str">
        <x:v>YES</x:v>
      </x:c>
      <x:c r="Q15" s="57" t="str">
        <x:v>YES</x:v>
      </x:c>
      <x:c r="R15" s="57" t="str">
        <x:v>PURE THERMO application contexts</x:v>
      </x:c>
      <x:c r="S15" s="57" t="str">
        <x:v>LIVE</x:v>
      </x:c>
      <x:c r="T15" s="57"/>
      <x:c r="U15" s="57" t="str">
        <x:v>OPEN</x:v>
      </x:c>
      <x:c r="V15" s="57" t="str">
        <x:v>Final mapping includes dedicated technical-surface visual.</x:v>
      </x:c>
    </x:row>
    <x:row r="16">
      <x:c r="A16" s="57" t="str">
        <x:v>VIS-PT-DET-001</x:v>
      </x:c>
      <x:c r="B16" s="57" t="str">
        <x:v>PF-THERMO</x:v>
      </x:c>
      <x:c r="C16" s="57" t="str">
        <x:v>SYS-PT-DET</x:v>
      </x:c>
      <x:c r="D16" s="57" t="str">
        <x:v>/systeme/pure-thermo-detail</x:v>
      </x:c>
      <x:c r="E16" s="57" t="str">
        <x:v>Typical detail applications</x:v>
      </x:c>
      <x:c r="F16" s="57" t="str">
        <x:v>Show lintel, niche, reveals, corners, junctions and complex geometry</x:v>
      </x:c>
      <x:c r="G16" s="57" t="str">
        <x:v>APPLICATION IMAGES</x:v>
      </x:c>
      <x:c r="H16" s="57" t="str">
        <x:v>YES</x:v>
      </x:c>
      <x:c r="I16" s="57" t="str">
        <x:v>Minimalistische Fensternische im Betonraum; Moderne Fensterlaibung im Abendlicht; detail/keller/geometry assets</x:v>
      </x:c>
      <x:c r="J16" s="57" t="str">
        <x:v>YES</x:v>
      </x:c>
      <x:c r="K16" s="57" t="str">
        <x:v>NO</x:v>
      </x:c>
      <x:c r="L16" s="57" t="str">
        <x:v>NO</x:v>
      </x:c>
      <x:c r="M16" s="57" t="str">
        <x:v>MEDIUM</x:v>
      </x:c>
      <x:c r="N16" s="57" t="str">
        <x:v>Technical architectural detail photography</x:v>
      </x:c>
      <x:c r="O16" s="57" t="str">
        <x:v>3:2</x:v>
      </x:c>
      <x:c r="P16" s="57" t="str">
        <x:v>YES</x:v>
      </x:c>
      <x:c r="Q16" s="57" t="str">
        <x:v>YES</x:v>
      </x:c>
      <x:c r="R16" s="57" t="str">
        <x:v>PURE THERMO detail applications</x:v>
      </x:c>
      <x:c r="S16" s="57" t="str">
        <x:v>LIVE</x:v>
      </x:c>
      <x:c r="T16" s="57"/>
      <x:c r="U16" s="57" t="str">
        <x:v>OPEN</x:v>
      </x:c>
      <x:c r="V16" s="57" t="str">
        <x:v>Dedicated niche + lintel assets generated and included in final user-confirmed push; final visual crop QA recommended.</x:v>
      </x:c>
    </x:row>
    <x:row r="17">
      <x:c r="A17" s="57" t="str">
        <x:v>VIS-PT-EXT-001</x:v>
      </x:c>
      <x:c r="B17" s="57" t="str">
        <x:v>PF-THERMO</x:v>
      </x:c>
      <x:c r="C17" s="57" t="str">
        <x:v>SYS-PT-EXT</x:v>
      </x:c>
      <x:c r="D17" s="57" t="str">
        <x:v>/systeme/pure-thermo-exterior</x:v>
      </x:c>
      <x:c r="E17" s="57" t="str">
        <x:v>Typical exterior applications</x:v>
      </x:c>
      <x:c r="F17" s="57" t="str">
        <x:v>Show façade, mineral substrate, existing fabric and local details</x:v>
      </x:c>
      <x:c r="G17" s="57" t="str">
        <x:v>APPLICATION IMAGES</x:v>
      </x:c>
      <x:c r="H17" s="57" t="str">
        <x:v>YES</x:v>
      </x:c>
      <x:c r="I17" s="57" t="str">
        <x:v>Moderne Fassade im Abendlicht; Verwitterte Steinfassade; Jugendstilfassade; Fassade mit Seeblick; Fensteranschluss</x:v>
      </x:c>
      <x:c r="J17" s="57" t="str">
        <x:v>YES</x:v>
      </x:c>
      <x:c r="K17" s="57" t="str">
        <x:v>NO</x:v>
      </x:c>
      <x:c r="L17" s="57" t="str">
        <x:v>NO</x:v>
      </x:c>
      <x:c r="M17" s="57" t="str">
        <x:v>MEDIUM</x:v>
      </x:c>
      <x:c r="N17" s="57" t="str">
        <x:v>Exterior architecture; calm technical context</x:v>
      </x:c>
      <x:c r="O17" s="57" t="str">
        <x:v>3:2</x:v>
      </x:c>
      <x:c r="P17" s="57" t="str">
        <x:v>YES</x:v>
      </x:c>
      <x:c r="Q17" s="57" t="str">
        <x:v>YES</x:v>
      </x:c>
      <x:c r="R17" s="57" t="str">
        <x:v>PURE THERMO exterior application contexts</x:v>
      </x:c>
      <x:c r="S17" s="57" t="str">
        <x:v>LIVE</x:v>
      </x:c>
      <x:c r="T17" s="57"/>
      <x:c r="U17" s="57" t="str">
        <x:v>OPEN</x:v>
      </x:c>
      <x:c r="V17" s="57" t="str">
        <x:v>Verified against current Vercel push 12.09.2026.</x:v>
      </x:c>
    </x:row>
    <x:row r="18">
      <x:c r="A18" s="57" t="str">
        <x:v>VIS-FIRE-APP-001</x:v>
      </x:c>
      <x:c r="B18" s="57" t="str">
        <x:v>PF-FIRE</x:v>
      </x:c>
      <x:c r="C18" s="57"/>
      <x:c r="D18" s="57" t="str">
        <x:v>/pure-fire-protect</x:v>
      </x:c>
      <x:c r="E18" s="57" t="str">
        <x:v>Application routes</x:v>
      </x:c>
      <x:c r="F18" s="57" t="str">
        <x:v>Six distinct fire-development contexts</x:v>
      </x:c>
      <x:c r="G18" s="57" t="str">
        <x:v>FIRE APPLICATION</x:v>
      </x:c>
      <x:c r="H18" s="57" t="str">
        <x:v>YES</x:v>
      </x:c>
      <x:c r="I18" s="57" t="str">
        <x:v>Holzhaus; Reetdach; Rathaus; Industriebrand; BESS; Wildland</x:v>
      </x:c>
      <x:c r="J18" s="57" t="str">
        <x:v>YES</x:v>
      </x:c>
      <x:c r="K18" s="57" t="str">
        <x:v>NO</x:v>
      </x:c>
      <x:c r="L18" s="57" t="str">
        <x:v>NO</x:v>
      </x:c>
      <x:c r="M18" s="57" t="str">
        <x:v>MEDIUM</x:v>
      </x:c>
      <x:c r="N18" s="57" t="str">
        <x:v>Illustrative fire contexts; restrained overlays</x:v>
      </x:c>
      <x:c r="O18" s="57" t="str">
        <x:v>3:2</x:v>
      </x:c>
      <x:c r="P18" s="57" t="str">
        <x:v>YES</x:v>
      </x:c>
      <x:c r="Q18" s="57" t="str">
        <x:v>YES</x:v>
      </x:c>
      <x:c r="R18" s="57" t="str">
        <x:v>PURE FIRE PROTECT application routes</x:v>
      </x:c>
      <x:c r="S18" s="57" t="str">
        <x:v>LIVE</x:v>
      </x:c>
      <x:c r="T18" s="57"/>
      <x:c r="U18" s="57" t="str">
        <x:v>OPEN</x:v>
      </x:c>
      <x:c r="V18" s="57" t="str">
        <x:v>Illustrative only; no transfer of classification/performance.</x:v>
      </x:c>
    </x:row>
    <x:row r="19">
      <x:c r="A19" s="57" t="str">
        <x:v>VIS-FLOOR-APP-001</x:v>
      </x:c>
      <x:c r="B19" s="57" t="str">
        <x:v>PF-FLOOR</x:v>
      </x:c>
      <x:c r="C19" s="57"/>
      <x:c r="D19" s="57" t="str">
        <x:v>/pure-floor-protect</x:v>
      </x:c>
      <x:c r="E19" s="57" t="str">
        <x:v>Applications</x:v>
      </x:c>
      <x:c r="F19" s="57" t="str">
        <x:v>Six differentiated floor use cases</x:v>
      </x:c>
      <x:c r="G19" s="57" t="str">
        <x:v>APPLICATION IMAGES</x:v>
      </x:c>
      <x:c r="H19" s="57" t="str">
        <x:v>YES</x:v>
      </x:c>
      <x:c r="I19" s="57" t="str">
        <x:v>Sports / School / Fitness / Public / Commercial / Light Industrial before-after set</x:v>
      </x:c>
      <x:c r="J19" s="57" t="str">
        <x:v>YES</x:v>
      </x:c>
      <x:c r="K19" s="57" t="str">
        <x:v>NO</x:v>
      </x:c>
      <x:c r="L19" s="57" t="str">
        <x:v>NO</x:v>
      </x:c>
      <x:c r="M19" s="57" t="str">
        <x:v>MEDIUM</x:v>
      </x:c>
      <x:c r="N19" s="57" t="str">
        <x:v>Consistent split before/after communication visuals</x:v>
      </x:c>
      <x:c r="O19" s="57" t="str">
        <x:v>4:3</x:v>
      </x:c>
      <x:c r="P19" s="57" t="str">
        <x:v>YES</x:v>
      </x:c>
      <x:c r="Q19" s="57" t="str">
        <x:v>YES</x:v>
      </x:c>
      <x:c r="R19" s="57" t="str">
        <x:v>PURE FLOOR PROTECT application visuals</x:v>
      </x:c>
      <x:c r="S19" s="57" t="str">
        <x:v>LIVE</x:v>
      </x:c>
      <x:c r="T19" s="57"/>
      <x:c r="U19" s="57" t="str">
        <x:v>OPEN</x:v>
      </x:c>
      <x:c r="V19" s="57" t="str">
        <x:v>Illustrative communication visuals; not documented project references.</x:v>
      </x:c>
    </x:row>
    <x:row r="20">
      <x:c r="A20" s="57" t="str">
        <x:v>VIS-SURF-APP-001</x:v>
      </x:c>
      <x:c r="B20" s="57" t="str">
        <x:v>PF-SURFACE</x:v>
      </x:c>
      <x:c r="C20" s="57"/>
      <x:c r="D20" s="57" t="str">
        <x:v>/pure-surface-protect</x:v>
      </x:c>
      <x:c r="E20" s="57" t="str">
        <x:v>Challenge / applications</x:v>
      </x:c>
      <x:c r="F20" s="57" t="str">
        <x:v>Show weathering, deposits, chemistry and renovation contexts</x:v>
      </x:c>
      <x:c r="G20" s="57" t="str">
        <x:v>ARCHITECTURE IMAGE</x:v>
      </x:c>
      <x:c r="H20" s="57" t="str">
        <x:v>YES</x:v>
      </x:c>
      <x:c r="I20" s="57" t="str">
        <x:v>Moderne Fassade; verwitterte Steinfassade; Industrieboden mit Reinigungsschaum; Restaurierung Fassadenornamente</x:v>
      </x:c>
      <x:c r="J20" s="57" t="str">
        <x:v>YES</x:v>
      </x:c>
      <x:c r="K20" s="57" t="str">
        <x:v>NO</x:v>
      </x:c>
      <x:c r="L20" s="57" t="str">
        <x:v>NO</x:v>
      </x:c>
      <x:c r="M20" s="57" t="str">
        <x:v>MEDIUM</x:v>
      </x:c>
      <x:c r="N20" s="57" t="str">
        <x:v>Premium architecture / surface engineering</x:v>
      </x:c>
      <x:c r="O20" s="57" t="str">
        <x:v>3:2</x:v>
      </x:c>
      <x:c r="P20" s="57" t="str">
        <x:v>YES</x:v>
      </x:c>
      <x:c r="Q20" s="57" t="str">
        <x:v>YES</x:v>
      </x:c>
      <x:c r="R20" s="57" t="str">
        <x:v>PURE SURFACE PROTECT surface contexts</x:v>
      </x:c>
      <x:c r="S20" s="57" t="str">
        <x:v>LIVE</x:v>
      </x:c>
      <x:c r="T20" s="57"/>
      <x:c r="U20" s="57" t="str">
        <x:v>OPEN</x:v>
      </x:c>
      <x:c r="V20" s="57" t="str">
        <x:v>Generated contexts remain separate from LANUV/UAE evidence.</x:v>
      </x:c>
    </x:row>
    <x:row r="21">
      <x:c r="A21" s="57" t="str">
        <x:v>VIS-WATER-APP-001</x:v>
      </x:c>
      <x:c r="B21" s="57" t="str">
        <x:v>PF-WATER</x:v>
      </x:c>
      <x:c r="C21" s="57"/>
      <x:c r="D21" s="57" t="str">
        <x:v>/pure-water-protect</x:v>
      </x:c>
      <x:c r="E21" s="57" t="str">
        <x:v>Marine challenge</x:v>
      </x:c>
      <x:c r="F21" s="57" t="str">
        <x:v>Show underwater / marine exposure and cleaning</x:v>
      </x:c>
      <x:c r="G21" s="57" t="str">
        <x:v>WATER APPLICATION</x:v>
      </x:c>
      <x:c r="H21" s="57" t="str">
        <x:v>YES</x:v>
      </x:c>
      <x:c r="I21" s="57" t="str">
        <x:v>Bewachsener Rumpf; Unterwasserreinigung; Wasserlinie; maritime operation</x:v>
      </x:c>
      <x:c r="J21" s="57" t="str">
        <x:v>YES</x:v>
      </x:c>
      <x:c r="K21" s="57" t="str">
        <x:v>NO</x:v>
      </x:c>
      <x:c r="L21" s="57" t="str">
        <x:v>NO</x:v>
      </x:c>
      <x:c r="M21" s="57" t="str">
        <x:v>MEDIUM</x:v>
      </x:c>
      <x:c r="N21" s="57" t="str">
        <x:v>Underwater / marine functional surface</x:v>
      </x:c>
      <x:c r="O21" s="57" t="str">
        <x:v>16:9</x:v>
      </x:c>
      <x:c r="P21" s="57" t="str">
        <x:v>YES</x:v>
      </x:c>
      <x:c r="Q21" s="57" t="str">
        <x:v>YES</x:v>
      </x:c>
      <x:c r="R21" s="57" t="str">
        <x:v>PURE WATER PROTECT marine surface contexts</x:v>
      </x:c>
      <x:c r="S21" s="57" t="str">
        <x:v>LIVE</x:v>
      </x:c>
      <x:c r="T21" s="57"/>
      <x:c r="U21" s="57" t="str">
        <x:v>OPEN</x:v>
      </x:c>
      <x:c r="V21" s="57" t="str">
        <x:v>No antifouling/biocide implication.</x:v>
      </x:c>
    </x:row>
    <x:row r="22">
      <x:c r="A22" s="57" t="str">
        <x:v>VIS-WOOD-APP-001</x:v>
      </x:c>
      <x:c r="B22" s="57" t="str">
        <x:v>PF-WOOD</x:v>
      </x:c>
      <x:c r="C22" s="57"/>
      <x:c r="D22" s="57" t="str">
        <x:v>/pure-wood-protect</x:v>
      </x:c>
      <x:c r="E22" s="57" t="str">
        <x:v>Applications</x:v>
      </x:c>
      <x:c r="F22" s="57" t="str">
        <x:v>Six differentiated visible-wood contexts</x:v>
      </x:c>
      <x:c r="G22" s="57" t="str">
        <x:v>WOOD APPLICATION</x:v>
      </x:c>
      <x:c r="H22" s="57" t="str">
        <x:v>YES</x:v>
      </x:c>
      <x:c r="I22" s="57" t="str">
        <x:v>Wood façade; wet terrace; outdoor furniture; interior wood; yacht teak; public wood</x:v>
      </x:c>
      <x:c r="J22" s="57" t="str">
        <x:v>YES</x:v>
      </x:c>
      <x:c r="K22" s="57" t="str">
        <x:v>NO</x:v>
      </x:c>
      <x:c r="L22" s="57" t="str">
        <x:v>NO</x:v>
      </x:c>
      <x:c r="M22" s="57" t="str">
        <x:v>MEDIUM</x:v>
      </x:c>
      <x:c r="N22" s="57" t="str">
        <x:v>Natural premium wood; tactile; no synthetic shield look</x:v>
      </x:c>
      <x:c r="O22" s="57" t="str">
        <x:v>3:2</x:v>
      </x:c>
      <x:c r="P22" s="57" t="str">
        <x:v>YES</x:v>
      </x:c>
      <x:c r="Q22" s="57" t="str">
        <x:v>YES</x:v>
      </x:c>
      <x:c r="R22" s="57" t="str">
        <x:v>PURE WOOD PROTECT application worlds</x:v>
      </x:c>
      <x:c r="S22" s="57" t="str">
        <x:v>LIVE</x:v>
      </x:c>
      <x:c r="T22" s="57"/>
      <x:c r="U22" s="57" t="str">
        <x:v>OPEN</x:v>
      </x:c>
      <x:c r="V22" s="57" t="str">
        <x:v>Application-specific validation remains explicit.</x:v>
      </x:c>
    </x:row>
    <x:row r="23">
      <x:c r="A23" s="57" t="str">
        <x:v>VIS-BOAT-ZONE-001</x:v>
      </x:c>
      <x:c r="B23" s="57" t="str">
        <x:v>PF-BOAT</x:v>
      </x:c>
      <x:c r="C23" s="57"/>
      <x:c r="D23" s="57" t="str">
        <x:v>/pure-boat-protect</x:v>
      </x:c>
      <x:c r="E23" s="57" t="str">
        <x:v>Yacht zones</x:v>
      </x:c>
      <x:c r="F23" s="57" t="str">
        <x:v>Differentiate teak, plastic/fender, leather, metal, fleet and luxury yacht contexts</x:v>
      </x:c>
      <x:c r="G23" s="57" t="str">
        <x:v>MARINE APPLICATION</x:v>
      </x:c>
      <x:c r="H23" s="57" t="str">
        <x:v>YES</x:v>
      </x:c>
      <x:c r="I23" s="57" t="str">
        <x:v>Teak; fender/plastic; Marineleder; Edelstahlbeschlag; Charterflotte; Luxusyacht</x:v>
      </x:c>
      <x:c r="J23" s="57" t="str">
        <x:v>YES</x:v>
      </x:c>
      <x:c r="K23" s="57" t="str">
        <x:v>NO</x:v>
      </x:c>
      <x:c r="L23" s="57" t="str">
        <x:v>NO</x:v>
      </x:c>
      <x:c r="M23" s="57" t="str">
        <x:v>MEDIUM</x:v>
      </x:c>
      <x:c r="N23" s="57" t="str">
        <x:v>Premium maritime material photography</x:v>
      </x:c>
      <x:c r="O23" s="57" t="str">
        <x:v>3:2</x:v>
      </x:c>
      <x:c r="P23" s="57" t="str">
        <x:v>YES</x:v>
      </x:c>
      <x:c r="Q23" s="57" t="str">
        <x:v>YES</x:v>
      </x:c>
      <x:c r="R23" s="57" t="str">
        <x:v>PURE BOAT PROTECT yacht zones</x:v>
      </x:c>
      <x:c r="S23" s="57" t="str">
        <x:v>LIVE</x:v>
      </x:c>
      <x:c r="T23" s="57"/>
      <x:c r="U23" s="57" t="str">
        <x:v>OPEN</x:v>
      </x:c>
      <x:c r="V23" s="57" t="str">
        <x:v>Use real-looking material context; no performance inference from imagery.</x:v>
      </x:c>
    </x:row>
    <x:row r="24">
      <x:c r="A24" s="57" t="str">
        <x:v>VIS-HOME-PORT-001</x:v>
      </x:c>
      <x:c r="B24" s="57" t="str">
        <x:v>PLATFORM-001</x:v>
      </x:c>
      <x:c r="C24" s="57"/>
      <x:c r="D24" s="57" t="str">
        <x:v>/</x:v>
      </x:c>
      <x:c r="E24" s="57" t="str">
        <x:v>Portfolio / eight functional worlds</x:v>
      </x:c>
      <x:c r="F24" s="57" t="str">
        <x:v>Eight calm, visually coherent product-family tiles</x:v>
      </x:c>
      <x:c r="G24" s="57" t="str">
        <x:v>APPLICATION IMAGES</x:v>
      </x:c>
      <x:c r="H24" s="57" t="str">
        <x:v>YES</x:v>
      </x:c>
      <x:c r="I24" s="57" t="str">
        <x:v>Current product-family image set</x:v>
      </x:c>
      <x:c r="J24" s="57" t="str">
        <x:v>PENDING</x:v>
      </x:c>
      <x:c r="K24" s="57" t="str">
        <x:v>YES</x:v>
      </x:c>
      <x:c r="L24" s="57" t="str">
        <x:v>NO</x:v>
      </x:c>
      <x:c r="M24" s="57" t="str">
        <x:v>LOW</x:v>
      </x:c>
      <x:c r="N24" s="57" t="str">
        <x:v>Unified calm photographic language; avoid text-heavy mini-posters</x:v>
      </x:c>
      <x:c r="O24" s="57" t="str">
        <x:v>4:3</x:v>
      </x:c>
      <x:c r="P24" s="57" t="str">
        <x:v>YES</x:v>
      </x:c>
      <x:c r="Q24" s="57" t="str">
        <x:v>YES</x:v>
      </x:c>
      <x:c r="R24" s="57" t="str">
        <x:v>Eight PURE technology families</x:v>
      </x:c>
      <x:c r="S24" s="57" t="str">
        <x:v>IN PRODUCTION</x:v>
      </x:c>
      <x:c r="T24" s="57"/>
      <x:c r="U24" s="57" t="str">
        <x:v>OPEN</x:v>
      </x:c>
      <x:c r="V24" s="57" t="str">
        <x:v>Three text-heavy tiles (Thermo, Floor, Surface) scheduled for replacement with calmer existing assets.</x:v>
      </x:c>
    </x:row>
  </x:sheetData>
  <x:mergeCells>
    <x:mergeCell ref="A1:V1"/>
    <x:mergeCell ref="A2:V2"/>
  </x:mergeCells>
  <x:dataValidations count="8">
    <x:dataValidation type="list" sqref="G5:G1000">
      <x:formula1>99_LISTS!$L$4:$L$19</x:formula1>
    </x:dataValidation>
    <x:dataValidation type="list" sqref="J5:J1000">
      <x:formula1>99_LISTS!$D$4:$D$7</x:formula1>
    </x:dataValidation>
    <x:dataValidation type="list" sqref="K5:K1000">
      <x:formula1>99_LISTS!$D$4:$D$7</x:formula1>
    </x:dataValidation>
    <x:dataValidation type="list" sqref="L5:L1000">
      <x:formula1>99_LISTS!$D$4:$D$7</x:formula1>
    </x:dataValidation>
    <x:dataValidation type="list" sqref="M5:M1000">
      <x:formula1>99_LISTS!$D$4:$D$7</x:formula1>
    </x:dataValidation>
    <x:dataValidation type="list" sqref="P5:P1000">
      <x:formula1>99_LISTS!$D$4:$D$7</x:formula1>
    </x:dataValidation>
    <x:dataValidation type="list" sqref="Q5:Q1000">
      <x:formula1>99_LISTS!$D$4:$D$7</x:formula1>
    </x:dataValidation>
    <x:dataValidation type="list" sqref="S5:S1000">
      <x:formula1>99_LISTS!$I$4:$I$9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b52839592664b56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2" hidden="0" customWidth="1"/>
    <x:col min="3" max="3" width="16" hidden="0" customWidth="1"/>
    <x:col min="4" max="4" width="24" hidden="0" customWidth="1"/>
    <x:col min="5" max="5" width="30" hidden="0" customWidth="1"/>
    <x:col min="6" max="6" width="18" hidden="0" customWidth="1"/>
    <x:col min="7" max="7" width="26" hidden="0" customWidth="1"/>
    <x:col min="8" max="8" width="38" hidden="0" customWidth="1"/>
    <x:col min="9" max="9" width="20" hidden="0" customWidth="1"/>
    <x:col min="10" max="10" width="54" hidden="0" customWidth="1"/>
    <x:col min="11" max="11" width="28" hidden="0" customWidth="1"/>
    <x:col min="12" max="12" width="34" hidden="0" customWidth="1"/>
    <x:col min="13" max="13" width="20" hidden="0" customWidth="1"/>
    <x:col min="14" max="14" width="18" hidden="0" customWidth="1"/>
    <x:col min="15" max="15" width="32" hidden="0" customWidth="1"/>
    <x:col min="16" max="16" width="22" hidden="0" customWidth="1"/>
    <x:col min="17" max="17" width="14" hidden="0" customWidth="1"/>
    <x:col min="18" max="18" width="38" hidden="0" customWidth="1"/>
  </x:cols>
  <x:sheetData>
    <x:row r="1" ht="26" customHeight="1">
      <x:c r="A1" s="4" t="str">
        <x:v>06 · SOURCE REGISTER</x:v>
      </x:c>
    </x:row>
    <x:row r="2" ht="42" customHeight="1">
      <x:c r="A2" s="11" t="str">
        <x:v>Seed aus TIPMS V2.0. PV-Kunststofffolie bleibt aus Gründen der Rückverfolgbarkeit enthalten, ist aber außerhalb des aktuellen PURE-Website-Portfolios markiert.</x:v>
      </x:c>
    </x:row>
    <x:row r="4" ht="34" customHeight="1">
      <x:c r="A4" s="20" t="str">
        <x:v>SOURCE-ID</x:v>
      </x:c>
      <x:c r="B4" s="20" t="str">
        <x:v>DOCUMENT NAME</x:v>
      </x:c>
      <x:c r="C4" s="20" t="str">
        <x:v>VERSION / DATE</x:v>
      </x:c>
      <x:c r="D4" s="20" t="str">
        <x:v>AUTHOR / ISSUER</x:v>
      </x:c>
      <x:c r="E4" s="20" t="str">
        <x:v>DOCUMENT TYPE</x:v>
      </x:c>
      <x:c r="F4" s="20" t="str">
        <x:v>PRODUCT FAMILY ID</x:v>
      </x:c>
      <x:c r="G4" s="20" t="str">
        <x:v>TIPMS TECHNOLOGY</x:v>
      </x:c>
      <x:c r="H4" s="20" t="str">
        <x:v>AUTHORITY / EVIDENCE CHARACTER</x:v>
      </x:c>
      <x:c r="I4" s="20" t="str">
        <x:v>CURRENT / SUPERSEDED / UNCLEAR</x:v>
      </x:c>
      <x:c r="J4" s="20" t="str">
        <x:v>KEY CONTENT</x:v>
      </x:c>
      <x:c r="K4" s="20" t="str">
        <x:v>WEBSITE RELEVANCE</x:v>
      </x:c>
      <x:c r="L4" s="20" t="str">
        <x:v>TECHNICAL RELEVANCE</x:v>
      </x:c>
      <x:c r="M4" s="20" t="str">
        <x:v>VISUAL RELEVANCE</x:v>
      </x:c>
      <x:c r="N4" s="20" t="str">
        <x:v>PUBLICLY CITABLE?</x:v>
      </x:c>
      <x:c r="O4" s="20" t="str">
        <x:v>CONFLICTS</x:v>
      </x:c>
      <x:c r="P4" s="20" t="str">
        <x:v>WEBSITE EXTRACTION STATUS</x:v>
      </x:c>
      <x:c r="Q4" s="20" t="str">
        <x:v>TIPMS ORIGINAL ID</x:v>
      </x:c>
      <x:c r="R4" s="20" t="str">
        <x:v>NOTES</x:v>
      </x:c>
    </x:row>
    <x:row r="5" ht="42" customHeight="1">
      <x:c r="A5" s="28" t="str">
        <x:v>SRC-001</x:v>
      </x:c>
      <x:c r="B5" s="28" t="str">
        <x:v>20260606_Vertriebsversion_Heizbare_Sitzbaenke_Liquid_Heat_TII.pdf</x:v>
      </x:c>
      <x:c r="C5" s="28" t="str">
        <x:v>06.06.2026</x:v>
      </x:c>
      <x:c r="D5" s="28" t="str">
        <x:v>TII Technologies</x:v>
      </x:c>
      <x:c r="E5" s="28" t="str">
        <x:v>Vertriebs-/Produktkonzept</x:v>
      </x:c>
      <x:c r="F5" s="28" t="str">
        <x:v>PF-LHEAT</x:v>
      </x:c>
      <x:c r="G5" s="28" t="str">
        <x:v>Pure Liquid Heat</x:v>
      </x:c>
      <x:c r="H5" s="28" t="str">
        <x:v>Herstellerkonzept / Entwicklungsstand</x:v>
      </x:c>
      <x:c r="I5" s="28" t="str">
        <x:v>CURRENT AS CONCEPT</x:v>
      </x:c>
      <x:c r="J5" s="28" t="str">
        <x:v>Heizbank-Produktlinien, Integrationsprinzip, typische Konzeptleistungen, Sicherheitslogik, Pilotempfehlung</x:v>
      </x:c>
      <x:c r="K5" s="28" t="str">
        <x:v>HIGH - use case / concept only</x:v>
      </x:c>
      <x:c r="L5" s="28" t="str">
        <x:v>Product concept / prototype planning</x:v>
      </x:c>
      <x:c r="M5" s="28" t="str">
        <x:v>HIGH</x:v>
      </x:c>
      <x:c r="N5" s="28" t="str">
        <x:v>REVIEW REQUIRED</x:v>
      </x:c>
      <x:c r="O5" s="28" t="str">
        <x:v>Concept values not validated</x:v>
      </x:c>
      <x:c r="P5" s="28" t="str">
        <x:v>COMPLETE</x:v>
      </x:c>
      <x:c r="Q5" s="28" t="str">
        <x:v>SRC-001</x:v>
      </x:c>
      <x:c r="R5" s="28" t="str">
        <x:v>Images/renders are useful but must not be presented as validated references.</x:v>
      </x:c>
    </x:row>
    <x:row r="6" ht="42" customHeight="1">
      <x:c r="A6" s="28" t="str">
        <x:v>SRC-002</x:v>
      </x:c>
      <x:c r="B6" s="28" t="str">
        <x:v>20260613_Liquid_Heat_Anwendungsuebersicht.pdf</x:v>
      </x:c>
      <x:c r="C6" s="28" t="str">
        <x:v>13.06.2026</x:v>
      </x:c>
      <x:c r="D6" s="28" t="str">
        <x:v>TII Technologies</x:v>
      </x:c>
      <x:c r="E6" s="28" t="str">
        <x:v>Anwendungsbericht</x:v>
      </x:c>
      <x:c r="F6" s="28" t="str">
        <x:v>PF-LHEAT</x:v>
      </x:c>
      <x:c r="G6" s="28" t="str">
        <x:v>Pure Liquid Heat</x:v>
      </x:c>
      <x:c r="H6" s="28" t="str">
        <x:v>Hersteller-/Konzeptunterlage</x:v>
      </x:c>
      <x:c r="I6" s="28" t="str">
        <x:v>PARTIALLY SUPERSEDED</x:v>
      </x:c>
      <x:c r="J6" s="28" t="str">
        <x:v>Systemaufbau, broad applications, visuals, safety; technical build-up superseded by corrected DOCX</x:v>
      </x:c>
      <x:c r="K6" s="28" t="str">
        <x:v>HIGH - mainly applications/visual source</x:v>
      </x:c>
      <x:c r="L6" s="28" t="str">
        <x:v>Use cases / historic system definition</x:v>
      </x:c>
      <x:c r="M6" s="28" t="str">
        <x:v>HIGH</x:v>
      </x:c>
      <x:c r="N6" s="28" t="str">
        <x:v>REVIEW REQUIRED</x:v>
      </x:c>
      <x:c r="O6" s="28" t="str">
        <x:v>Substrate/build-up wording superseded by SRC-032</x:v>
      </x:c>
      <x:c r="P6" s="28" t="str">
        <x:v>COMPLETE</x:v>
      </x:c>
      <x:c r="Q6" s="28" t="str">
        <x:v>SRC-002</x:v>
      </x:c>
      <x:c r="R6" s="28" t="str">
        <x:v>Use for visual/applications context; corrected DOCX controls current substrate/build-up wording.</x:v>
      </x:c>
    </x:row>
    <x:row r="7" ht="42" customHeight="1">
      <x:c r="A7" s="28" t="str">
        <x:v>SRC-003</x:v>
      </x:c>
      <x:c r="B7" s="28" t="str">
        <x:v>20260613_PV_Kunststofffolie_Vertriebs_Investorenbericht_TII.pdf</x:v>
      </x:c>
      <x:c r="C7" s="28" t="str">
        <x:v>12.06.2026</x:v>
      </x:c>
      <x:c r="D7" s="28" t="str"/>
      <x:c r="E7" s="28" t="str">
        <x:v>Vertriebs-/Investorenbericht</x:v>
      </x:c>
      <x:c r="F7" s="28" t="str">
        <x:v>TECH-PV</x:v>
      </x:c>
      <x:c r="G7" s="28" t="str">
        <x:v>PV-Kunststofffolie</x:v>
      </x:c>
      <x:c r="H7" s="28" t="str">
        <x:v>Konzeptwerte</x:v>
      </x:c>
      <x:c r="I7" s="28" t="str">
        <x:v>UNCLEAR</x:v>
      </x:c>
      <x:c r="J7" s="28" t="str">
        <x:v>540 W, 6,5 kg, 150 EUR/m², Zielmärkte und Pilotlogik</x:v>
      </x:c>
      <x:c r="K7" s="28" t="str">
        <x:v>OUT OF CURRENT SCOPE</x:v>
      </x:c>
      <x:c r="L7" s="28" t="str">
        <x:v>Investor/Markt/Pilot</x:v>
      </x:c>
      <x:c r="M7" s="28" t="str">
        <x:v>TO ASSESS</x:v>
      </x:c>
      <x:c r="N7" s="28" t="str">
        <x:v>REVIEW REQUIRED</x:v>
      </x:c>
      <x:c r="O7" s="28" t="str"/>
      <x:c r="P7" s="28" t="str">
        <x:v>NOT STARTED</x:v>
      </x:c>
      <x:c r="Q7" s="28" t="str">
        <x:v>SRC-003</x:v>
      </x:c>
      <x:c r="R7" s="28" t="str">
        <x:v>Imported from TIPMS V2.0.</x:v>
      </x:c>
    </x:row>
    <x:row r="8" ht="42" customHeight="1">
      <x:c r="A8" s="28" t="str">
        <x:v>SRC-004</x:v>
      </x:c>
      <x:c r="B8" s="28" t="str">
        <x:v>20260613_PV_Kunststofffolie_Word_Bericht_mit_realbildern.pdf</x:v>
      </x:c>
      <x:c r="C8" s="28" t="str">
        <x:v>12.06.2026</x:v>
      </x:c>
      <x:c r="D8" s="28" t="str"/>
      <x:c r="E8" s="28" t="str">
        <x:v>Technischer Konzeptbericht</x:v>
      </x:c>
      <x:c r="F8" s="28" t="str">
        <x:v>TECH-PV</x:v>
      </x:c>
      <x:c r="G8" s="28" t="str">
        <x:v>PV-Kunststofffolie</x:v>
      </x:c>
      <x:c r="H8" s="28" t="str">
        <x:v>Konzeptwerte</x:v>
      </x:c>
      <x:c r="I8" s="28" t="str">
        <x:v>UNCLEAR</x:v>
      </x:c>
      <x:c r="J8" s="28" t="str">
        <x:v>Systemaufbau, Profile, Berechnungen, Roadmap und Prüfbedarf</x:v>
      </x:c>
      <x:c r="K8" s="28" t="str">
        <x:v>OUT OF CURRENT SCOPE</x:v>
      </x:c>
      <x:c r="L8" s="28" t="str">
        <x:v>Technik/Commercial Due Diligence</x:v>
      </x:c>
      <x:c r="M8" s="28" t="str">
        <x:v>TO ASSESS</x:v>
      </x:c>
      <x:c r="N8" s="28" t="str">
        <x:v>REVIEW REQUIRED</x:v>
      </x:c>
      <x:c r="O8" s="28" t="str"/>
      <x:c r="P8" s="28" t="str">
        <x:v>NOT STARTED</x:v>
      </x:c>
      <x:c r="Q8" s="28" t="str">
        <x:v>SRC-004</x:v>
      </x:c>
      <x:c r="R8" s="28" t="str">
        <x:v>Imported from TIPMS V2.0.</x:v>
      </x:c>
    </x:row>
    <x:row r="9" ht="42" customHeight="1">
      <x:c r="A9" s="28" t="str">
        <x:v>SRC-005</x:v>
      </x:c>
      <x:c r="B9" s="28" t="str">
        <x:v>20260729_Liquid_Heat_Praesentation_DE_mit_Pyramidenheizung_und_Bankheizung.pdf</x:v>
      </x:c>
      <x:c r="C9" s="28" t="str">
        <x:v>29.07.2026</x:v>
      </x:c>
      <x:c r="D9" s="28" t="str">
        <x:v>TII Technologies GmbH</x:v>
      </x:c>
      <x:c r="E9" s="28" t="str">
        <x:v>Vergleichs-/Technologiedeck</x:v>
      </x:c>
      <x:c r="F9" s="28" t="str">
        <x:v>PF-LHEAT</x:v>
      </x:c>
      <x:c r="G9" s="28" t="str">
        <x:v>Pure Liquid Heat</x:v>
      </x:c>
      <x:c r="H9" s="28" t="str">
        <x:v>Interne Vergleichs-/Technologiepräsentation</x:v>
      </x:c>
      <x:c r="I9" s="28" t="str">
        <x:v>PARTIALLY SUPERSEDED</x:v>
      </x:c>
      <x:c r="J9" s="28" t="str">
        <x:v>IR principle, heating-system comparisons, use cases, pyramid/bench integration</x:v>
      </x:c>
      <x:c r="K9" s="28" t="str">
        <x:v>HIGH - positioning/supporting</x:v>
      </x:c>
      <x:c r="L9" s="28" t="str">
        <x:v>Technology narrative / applications</x:v>
      </x:c>
      <x:c r="M9" s="28" t="str">
        <x:v>HIGH</x:v>
      </x:c>
      <x:c r="N9" s="28" t="str">
        <x:v>REVIEW REQUIRED</x:v>
      </x:c>
      <x:c r="O9" s="28" t="str">
        <x:v>Mentions broader substrate set in parts</x:v>
      </x:c>
      <x:c r="P9" s="28" t="str">
        <x:v>COMPLETE</x:v>
      </x:c>
      <x:c r="Q9" s="28" t="str">
        <x:v>SRC-005</x:v>
      </x:c>
      <x:c r="R9" s="28" t="str">
        <x:v>Use narrative/visual ideas; current system build-up comes from SRC-032.</x:v>
      </x:c>
    </x:row>
    <x:row r="10" ht="42" customHeight="1">
      <x:c r="A10" s="28" t="str">
        <x:v>SRC-006</x:v>
      </x:c>
      <x:c r="B10" s="28" t="str">
        <x:v>20260729_TII_Pure_Liquid_Heat_Heizfuss_Konzeptbericht_DE-2.pdf</x:v>
      </x:c>
      <x:c r="C10" s="28" t="str">
        <x:v>23.07.2026</x:v>
      </x:c>
      <x:c r="D10" s="28" t="str">
        <x:v>TII Technologies GmbH</x:v>
      </x:c>
      <x:c r="E10" s="28" t="str">
        <x:v>Produkt- und Entwicklungskonzept</x:v>
      </x:c>
      <x:c r="F10" s="28" t="str">
        <x:v>PF-LHEAT</x:v>
      </x:c>
      <x:c r="G10" s="28" t="str">
        <x:v>Pure Liquid Heat</x:v>
      </x:c>
      <x:c r="H10" s="28" t="str">
        <x:v>Vorentwicklung / technische Annahmen</x:v>
      </x:c>
      <x:c r="I10" s="28" t="str">
        <x:v>CURRENT AS DEVELOPMENT CONCEPT</x:v>
      </x:c>
      <x:c r="J10" s="28" t="str">
        <x:v>PureHeat Prism/Facet/Petal, 30-V concept, power/IP targets, safety risks and validation plan</x:v>
      </x:c>
      <x:c r="K10" s="28" t="str">
        <x:v>MEDIUM - concept showcase</x:v>
      </x:c>
      <x:c r="L10" s="28" t="str">
        <x:v>Prototype development / engineering</x:v>
      </x:c>
      <x:c r="M10" s="28" t="str">
        <x:v>HIGH</x:v>
      </x:c>
      <x:c r="N10" s="28" t="str">
        <x:v>REVIEW REQUIRED</x:v>
      </x:c>
      <x:c r="O10" s="28" t="str">
        <x:v>All performance/IP/cost values are development assumptions</x:v>
      </x:c>
      <x:c r="P10" s="28" t="str">
        <x:v>COMPLETE</x:v>
      </x:c>
      <x:c r="Q10" s="28" t="str">
        <x:v>SRC-006</x:v>
      </x:c>
      <x:c r="R10" s="28" t="str">
        <x:v>Public use only with clear CONCEPT / DEVELOPMENT label.</x:v>
      </x:c>
    </x:row>
    <x:row r="11" ht="42" customHeight="1">
      <x:c r="A11" s="28" t="str">
        <x:v>SRC-007</x:v>
      </x:c>
      <x:c r="B11" s="28" t="str">
        <x:v>20260805_TII_PureBoatProtect_MasterDeck_2026_DE_mit_Logo.pdf</x:v>
      </x:c>
      <x:c r="C11" s="28" t="str">
        <x:v>05.08.2026</x:v>
      </x:c>
      <x:c r="D11" s="28" t="str"/>
      <x:c r="E11" s="28" t="str">
        <x:v>Master Deck</x:v>
      </x:c>
      <x:c r="F11" s="28" t="str">
        <x:v>PF-BOAT</x:v>
      </x:c>
      <x:c r="G11" s="28" t="str">
        <x:v>Pure Boat Protect</x:v>
      </x:c>
      <x:c r="H11" s="28" t="str">
        <x:v>Hersteller/Projektbasis</x:v>
      </x:c>
      <x:c r="I11" s="28" t="str">
        <x:v>UNCLEAR</x:v>
      </x:c>
      <x:c r="J11" s="28" t="str">
        <x:v>bis 90 m²/L, bis 3 Jahre, Yachtzonen und Go-to-Market</x:v>
      </x:c>
      <x:c r="K11" s="28" t="str">
        <x:v>TO ASSESS / POTENTIALLY RELEVANT</x:v>
      </x:c>
      <x:c r="L11" s="28" t="str">
        <x:v>Vertrieb, Referenzplanung</x:v>
      </x:c>
      <x:c r="M11" s="28" t="str">
        <x:v>TO ASSESS</x:v>
      </x:c>
      <x:c r="N11" s="28" t="str">
        <x:v>REVIEW REQUIRED</x:v>
      </x:c>
      <x:c r="O11" s="28" t="str"/>
      <x:c r="P11" s="28" t="str">
        <x:v>NOT STARTED</x:v>
      </x:c>
      <x:c r="Q11" s="28" t="str">
        <x:v>SRC-007</x:v>
      </x:c>
      <x:c r="R11" s="28" t="str">
        <x:v>Imported from TIPMS V2.0.</x:v>
      </x:c>
    </x:row>
    <x:row r="12" ht="42" customHeight="1">
      <x:c r="A12" s="28" t="str">
        <x:v>SRC-008</x:v>
      </x:c>
      <x:c r="B12" s="28" t="str">
        <x:v>20260805_TII_PureFireProtect_MasterDeck_2026_DE_mit_Logo.pdf</x:v>
      </x:c>
      <x:c r="C12" s="28" t="str">
        <x:v>05.08.2026</x:v>
      </x:c>
      <x:c r="D12" s="28" t="str"/>
      <x:c r="E12" s="28" t="str">
        <x:v>Master Deck</x:v>
      </x:c>
      <x:c r="F12" s="28" t="str">
        <x:v>PF-FIRE</x:v>
      </x:c>
      <x:c r="G12" s="28" t="str">
        <x:v>Pure Fire Protect</x:v>
      </x:c>
      <x:c r="H12" s="28" t="str">
        <x:v>Hersteller + Prüfhinweise</x:v>
      </x:c>
      <x:c r="I12" s="28" t="str">
        <x:v>UNCLEAR</x:v>
      </x:c>
      <x:c r="J12" s="28" t="str">
        <x:v>B-s1,d0-/SBI-Logik, Systemansatz, Brandschutzmärkte</x:v>
      </x:c>
      <x:c r="K12" s="28" t="str">
        <x:v>TO ASSESS / POTENTIALLY RELEVANT</x:v>
      </x:c>
      <x:c r="L12" s="28" t="str">
        <x:v>Regulatorik, Investor</x:v>
      </x:c>
      <x:c r="M12" s="28" t="str">
        <x:v>TO ASSESS</x:v>
      </x:c>
      <x:c r="N12" s="28" t="str">
        <x:v>REVIEW REQUIRED</x:v>
      </x:c>
      <x:c r="O12" s="28" t="str"/>
      <x:c r="P12" s="28" t="str">
        <x:v>NOT STARTED</x:v>
      </x:c>
      <x:c r="Q12" s="28" t="str">
        <x:v>SRC-008</x:v>
      </x:c>
      <x:c r="R12" s="28" t="str">
        <x:v>Imported from TIPMS V2.0.</x:v>
      </x:c>
    </x:row>
    <x:row r="13" ht="42" customHeight="1">
      <x:c r="A13" s="28" t="str">
        <x:v>SRC-009</x:v>
      </x:c>
      <x:c r="B13" s="28" t="str">
        <x:v>20260805_TII_PureFloorProtect_MasterDeck_2026_DE_mit_Logo.pdf</x:v>
      </x:c>
      <x:c r="C13" s="28" t="str">
        <x:v>05.08.2026</x:v>
      </x:c>
      <x:c r="D13" s="28" t="str"/>
      <x:c r="E13" s="28" t="str">
        <x:v>Master Deck</x:v>
      </x:c>
      <x:c r="F13" s="28" t="str">
        <x:v>PF-FLOOR</x:v>
      </x:c>
      <x:c r="G13" s="28" t="str">
        <x:v>Pure Floor Protect</x:v>
      </x:c>
      <x:c r="H13" s="28" t="str">
        <x:v>Prüf-/Zulassungshinweise</x:v>
      </x:c>
      <x:c r="I13" s="28" t="str">
        <x:v>UNCLEAR</x:v>
      </x:c>
      <x:c r="J13" s="28" t="str">
        <x:v>5–8 µm, Klasse 1, DIBt/AgBB, kommunale Markteinführung</x:v>
      </x:c>
      <x:c r="K13" s="28" t="str">
        <x:v>TO ASSESS / POTENTIALLY RELEVANT</x:v>
      </x:c>
      <x:c r="L13" s="28" t="str">
        <x:v>früher Vertrieb, Kommunen</x:v>
      </x:c>
      <x:c r="M13" s="28" t="str">
        <x:v>TO ASSESS</x:v>
      </x:c>
      <x:c r="N13" s="28" t="str">
        <x:v>REVIEW REQUIRED</x:v>
      </x:c>
      <x:c r="O13" s="28" t="str"/>
      <x:c r="P13" s="28" t="str">
        <x:v>NOT STARTED</x:v>
      </x:c>
      <x:c r="Q13" s="28" t="str">
        <x:v>SRC-009</x:v>
      </x:c>
      <x:c r="R13" s="28" t="str">
        <x:v>Imported from TIPMS V2.0.</x:v>
      </x:c>
    </x:row>
    <x:row r="14" ht="42" customHeight="1">
      <x:c r="A14" s="28" t="str">
        <x:v>SRC-010</x:v>
      </x:c>
      <x:c r="B14" s="28" t="str">
        <x:v>20260805_TII_PureLiquidHeat_MasterDeck_2026_DE_mit_Logo.pdf</x:v>
      </x:c>
      <x:c r="C14" s="28" t="str">
        <x:v>05.08.2026</x:v>
      </x:c>
      <x:c r="D14" s="28" t="str">
        <x:v>TII Technologies</x:v>
      </x:c>
      <x:c r="E14" s="28" t="str">
        <x:v>Master Deck</x:v>
      </x:c>
      <x:c r="F14" s="28" t="str">
        <x:v>PF-LHEAT</x:v>
      </x:c>
      <x:c r="G14" s="28" t="str">
        <x:v>Pure Liquid Heat</x:v>
      </x:c>
      <x:c r="H14" s="28" t="str">
        <x:v>Current strategy / internal technical synthesis</x:v>
      </x:c>
      <x:c r="I14" s="28" t="str">
        <x:v>CURRENT / TECH DETAILS PARTLY SUPERSEDED</x:v>
      </x:c>
      <x:c r="J14" s="28" t="str">
        <x:v>Positioning, system logic, application worlds, OEM, safety/regulatory, QA/validation roadmap</x:v>
      </x:c>
      <x:c r="K14" s="28" t="str">
        <x:v>CRITICAL - primary website narrative</x:v>
      </x:c>
      <x:c r="L14" s="28" t="str">
        <x:v>Strategy / product family architecture</x:v>
      </x:c>
      <x:c r="M14" s="28" t="str">
        <x:v>HIGH</x:v>
      </x:c>
      <x:c r="N14" s="28" t="str">
        <x:v>REVIEW REQUIRED</x:v>
      </x:c>
      <x:c r="O14" s="28" t="str">
        <x:v>Broader substrate/OEM wording conflicts with corrected SRC-032; 'geprüftes System' wording too strong</x:v>
      </x:c>
      <x:c r="P14" s="28" t="str">
        <x:v>COMPLETE</x:v>
      </x:c>
      <x:c r="Q14" s="28" t="str">
        <x:v>SRC-010</x:v>
      </x:c>
      <x:c r="R14" s="28" t="str">
        <x:v>Primary narrative source; technical substrate/build-up wording must defer to SRC-032.</x:v>
      </x:c>
    </x:row>
    <x:row r="15" ht="42" customHeight="1">
      <x:c r="A15" s="28" t="str">
        <x:v>SRC-011</x:v>
      </x:c>
      <x:c r="B15" s="28" t="str">
        <x:v>Thermo 2026.08.05.pptx</x:v>
      </x:c>
      <x:c r="C15" s="28" t="str">
        <x:v>05.08.2026</x:v>
      </x:c>
      <x:c r="D15" s="28" t="str"/>
      <x:c r="E15" s="28" t="str">
        <x:v>Produktportfolio-/Technikpräsentation</x:v>
      </x:c>
      <x:c r="F15" s="28" t="str">
        <x:v>PF-THERMO</x:v>
      </x:c>
      <x:c r="G15" s="28" t="str">
        <x:v>Pure Thermo</x:v>
      </x:c>
      <x:c r="H15" s="28" t="str">
        <x:v>Herstellerpräsentation</x:v>
      </x:c>
      <x:c r="I15" s="28" t="str">
        <x:v>UNCLEAR</x:v>
      </x:c>
      <x:c r="J15" s="28" t="str">
        <x:v>Ultra/Smooth-Kennwerte, Aerogel-/Brand-/Anwendungsclaims, Vergleichsbilder</x:v>
      </x:c>
      <x:c r="K15" s="28" t="str">
        <x:v>TO ASSESS / POTENTIALLY RELEVANT</x:v>
      </x:c>
      <x:c r="L15" s="28" t="str">
        <x:v>Technische Kennwerte und Claimprüfung</x:v>
      </x:c>
      <x:c r="M15" s="28" t="str">
        <x:v>TO ASSESS</x:v>
      </x:c>
      <x:c r="N15" s="28" t="str">
        <x:v>REVIEW REQUIRED</x:v>
      </x:c>
      <x:c r="O15" s="28" t="str"/>
      <x:c r="P15" s="28" t="str">
        <x:v>NOT STARTED</x:v>
      </x:c>
      <x:c r="Q15" s="28" t="str">
        <x:v>SRC-011</x:v>
      </x:c>
      <x:c r="R15" s="28" t="str">
        <x:v>Imported from TIPMS V2.0.</x:v>
      </x:c>
    </x:row>
    <x:row r="16" ht="42" customHeight="1">
      <x:c r="A16" s="28" t="str">
        <x:v>SRC-012</x:v>
      </x:c>
      <x:c r="B16" s="28" t="str">
        <x:v>20260805_TII_PureProtect_T730_MasterDeck_2026_DE_mit_Logo.pdf</x:v>
      </x:c>
      <x:c r="C16" s="28" t="str">
        <x:v>05.08.2026</x:v>
      </x:c>
      <x:c r="D16" s="28" t="str"/>
      <x:c r="E16" s="28" t="str">
        <x:v>Master Deck</x:v>
      </x:c>
      <x:c r="F16" s="28" t="str">
        <x:v>PF-T730</x:v>
      </x:c>
      <x:c r="G16" s="28" t="str">
        <x:v>Pure Protect T 730</x:v>
      </x:c>
      <x:c r="H16" s="28" t="str">
        <x:v>Hersteller + Testhinweise</x:v>
      </x:c>
      <x:c r="I16" s="28" t="str">
        <x:v>UNCLEAR</x:v>
      </x:c>
      <x:c r="J16" s="28" t="str">
        <x:v>Antimikrobielle Prüfhinweise, BPR-Risiko, Touchpoint-Markt und Roadmap</x:v>
      </x:c>
      <x:c r="K16" s="28" t="str">
        <x:v>TO ASSESS / POTENTIALLY RELEVANT</x:v>
      </x:c>
      <x:c r="L16" s="28" t="str">
        <x:v>Regulatory, Pilot, Investor</x:v>
      </x:c>
      <x:c r="M16" s="28" t="str">
        <x:v>TO ASSESS</x:v>
      </x:c>
      <x:c r="N16" s="28" t="str">
        <x:v>REVIEW REQUIRED</x:v>
      </x:c>
      <x:c r="O16" s="28" t="str"/>
      <x:c r="P16" s="28" t="str">
        <x:v>NOT STARTED</x:v>
      </x:c>
      <x:c r="Q16" s="28" t="str">
        <x:v>SRC-012</x:v>
      </x:c>
      <x:c r="R16" s="28" t="str">
        <x:v>Imported from TIPMS V2.0.</x:v>
      </x:c>
    </x:row>
    <x:row r="17" ht="42" customHeight="1">
      <x:c r="A17" s="28" t="str">
        <x:v>SRC-013</x:v>
      </x:c>
      <x:c r="B17" s="28" t="str">
        <x:v>20260805_TII_PureSurfaceProtect_MasterDeck_2026_DE_UAE_Referenz_werblicher_v2.pdf</x:v>
      </x:c>
      <x:c r="C17" s="28" t="str">
        <x:v>05.08.2026</x:v>
      </x:c>
      <x:c r="D17" s="28" t="str"/>
      <x:c r="E17" s="28" t="str">
        <x:v>Master Deck / Referenz</x:v>
      </x:c>
      <x:c r="F17" s="28" t="str">
        <x:v>PF-SURFACE</x:v>
      </x:c>
      <x:c r="G17" s="28" t="str">
        <x:v>Pure Surface Protect</x:v>
      </x:c>
      <x:c r="H17" s="28" t="str">
        <x:v>Projekt-/Herstellerbasis</x:v>
      </x:c>
      <x:c r="I17" s="28" t="str">
        <x:v>UNCLEAR</x:v>
      </x:c>
      <x:c r="J17" s="28" t="str">
        <x:v>2–8 µm, 70–90 m²/L, LANUV, UAE-Marmorfassade und Go-to-Market</x:v>
      </x:c>
      <x:c r="K17" s="28" t="str">
        <x:v>TO ASSESS / POTENTIALLY RELEVANT</x:v>
      </x:c>
      <x:c r="L17" s="28" t="str">
        <x:v>Vertrieb, Referenzen, Prüfplanung</x:v>
      </x:c>
      <x:c r="M17" s="28" t="str">
        <x:v>TO ASSESS</x:v>
      </x:c>
      <x:c r="N17" s="28" t="str">
        <x:v>REVIEW REQUIRED</x:v>
      </x:c>
      <x:c r="O17" s="28" t="str"/>
      <x:c r="P17" s="28" t="str">
        <x:v>NOT STARTED</x:v>
      </x:c>
      <x:c r="Q17" s="28" t="str">
        <x:v>SRC-013</x:v>
      </x:c>
      <x:c r="R17" s="28" t="str">
        <x:v>Imported from TIPMS V2.0.</x:v>
      </x:c>
    </x:row>
    <x:row r="18" ht="42" customHeight="1">
      <x:c r="A18" s="28" t="str">
        <x:v>SRC-014</x:v>
      </x:c>
      <x:c r="B18" s="28" t="str">
        <x:v>20260805_TII_PureThermo_MasterDeck_2026_DE_mit_Logo.pdf</x:v>
      </x:c>
      <x:c r="C18" s="28" t="str">
        <x:v>05.08.2026</x:v>
      </x:c>
      <x:c r="D18" s="28" t="str"/>
      <x:c r="E18" s="28" t="str">
        <x:v>Master Deck</x:v>
      </x:c>
      <x:c r="F18" s="28" t="str">
        <x:v>PF-THERMO</x:v>
      </x:c>
      <x:c r="G18" s="28" t="str">
        <x:v>Pure Thermo</x:v>
      </x:c>
      <x:c r="H18" s="28" t="str">
        <x:v>Hersteller/Strategie</x:v>
      </x:c>
      <x:c r="I18" s="28" t="str">
        <x:v>UNCLEAR</x:v>
      </x:c>
      <x:c r="J18" s="28" t="str">
        <x:v>5–30 mm System, λ 0,033–0,035, Wirtschaftlichkeitsmodell, Validierung und Circular Economy</x:v>
      </x:c>
      <x:c r="K18" s="28" t="str">
        <x:v>TO ASSESS / POTENTIALLY RELEVANT</x:v>
      </x:c>
      <x:c r="L18" s="28" t="str">
        <x:v>Bauphysik, Pilot, Investor</x:v>
      </x:c>
      <x:c r="M18" s="28" t="str">
        <x:v>TO ASSESS</x:v>
      </x:c>
      <x:c r="N18" s="28" t="str">
        <x:v>REVIEW REQUIRED</x:v>
      </x:c>
      <x:c r="O18" s="28" t="str"/>
      <x:c r="P18" s="28" t="str">
        <x:v>NOT STARTED</x:v>
      </x:c>
      <x:c r="Q18" s="28" t="str">
        <x:v>SRC-014</x:v>
      </x:c>
      <x:c r="R18" s="28" t="str">
        <x:v>Imported from TIPMS V2.0.</x:v>
      </x:c>
    </x:row>
    <x:row r="19" ht="42" customHeight="1">
      <x:c r="A19" s="28" t="str">
        <x:v>SRC-015</x:v>
      </x:c>
      <x:c r="B19" s="28" t="str">
        <x:v>20260805_TII_PureWaterProtect_MasterDeck_2026_DE_mit_Logo.pdf</x:v>
      </x:c>
      <x:c r="C19" s="28" t="str">
        <x:v>05.08.2026</x:v>
      </x:c>
      <x:c r="D19" s="28" t="str"/>
      <x:c r="E19" s="28" t="str">
        <x:v>Master Deck</x:v>
      </x:c>
      <x:c r="F19" s="28" t="str">
        <x:v>PF-WATER</x:v>
      </x:c>
      <x:c r="G19" s="28" t="str">
        <x:v>Pure Water Protect</x:v>
      </x:c>
      <x:c r="H19" s="28" t="str">
        <x:v>Projekt-/Herstellerbasis</x:v>
      </x:c>
      <x:c r="I19" s="28" t="str">
        <x:v>UNCLEAR</x:v>
      </x:c>
      <x:c r="J19" s="28" t="str">
        <x:v>biozidfreie Marinepositionierung, &gt;200 Boote, 70–90 m²/L, Saison- und Umweltlogik</x:v>
      </x:c>
      <x:c r="K19" s="28" t="str">
        <x:v>TO ASSESS / POTENTIALLY RELEVANT</x:v>
      </x:c>
      <x:c r="L19" s="28" t="str">
        <x:v>Marine-GTM, Umweltprüfung</x:v>
      </x:c>
      <x:c r="M19" s="28" t="str">
        <x:v>TO ASSESS</x:v>
      </x:c>
      <x:c r="N19" s="28" t="str">
        <x:v>REVIEW REQUIRED</x:v>
      </x:c>
      <x:c r="O19" s="28" t="str"/>
      <x:c r="P19" s="28" t="str">
        <x:v>NOT STARTED</x:v>
      </x:c>
      <x:c r="Q19" s="28" t="str">
        <x:v>SRC-015</x:v>
      </x:c>
      <x:c r="R19" s="28" t="str">
        <x:v>Imported from TIPMS V2.0.</x:v>
      </x:c>
    </x:row>
    <x:row r="20" ht="42" customHeight="1">
      <x:c r="A20" s="28" t="str">
        <x:v>SRC-016</x:v>
      </x:c>
      <x:c r="B20" s="28" t="str">
        <x:v>20260805_TII_PureWoodProtect_MasterDeck_2026_DE_mit_Logo.pdf</x:v>
      </x:c>
      <x:c r="C20" s="28" t="str">
        <x:v>05.08.2026</x:v>
      </x:c>
      <x:c r="D20" s="28" t="str"/>
      <x:c r="E20" s="28" t="str">
        <x:v>Master Deck</x:v>
      </x:c>
      <x:c r="F20" s="28" t="str">
        <x:v>PF-WOOD</x:v>
      </x:c>
      <x:c r="G20" s="28" t="str">
        <x:v>Pure Wood Protect</x:v>
      </x:c>
      <x:c r="H20" s="28" t="str">
        <x:v>Projekt-/Herstellerbasis</x:v>
      </x:c>
      <x:c r="I20" s="28" t="str">
        <x:v>UNCLEAR</x:v>
      </x:c>
      <x:c r="J20" s="28" t="str">
        <x:v>holzartspezifische Schutzlogik, Anwendungen, Prüf- und Markteintrittsplan</x:v>
      </x:c>
      <x:c r="K20" s="28" t="str">
        <x:v>TO ASSESS / POTENTIALLY RELEVANT</x:v>
      </x:c>
      <x:c r="L20" s="28" t="str">
        <x:v>Holztestmatrix, Pilot, Vertrieb</x:v>
      </x:c>
      <x:c r="M20" s="28" t="str">
        <x:v>TO ASSESS</x:v>
      </x:c>
      <x:c r="N20" s="28" t="str">
        <x:v>REVIEW REQUIRED</x:v>
      </x:c>
      <x:c r="O20" s="28" t="str"/>
      <x:c r="P20" s="28" t="str">
        <x:v>NOT STARTED</x:v>
      </x:c>
      <x:c r="Q20" s="28" t="str">
        <x:v>SRC-016</x:v>
      </x:c>
      <x:c r="R20" s="28" t="str">
        <x:v>Imported from TIPMS V2.0.</x:v>
      </x:c>
    </x:row>
    <x:row r="21" ht="42" customHeight="1">
      <x:c r="A21" s="28" t="str">
        <x:v>SRC-017</x:v>
      </x:c>
      <x:c r="B21" s="28" t="str">
        <x:v>20260116_TIC_Pra_sentation.pdf</x:v>
      </x:c>
      <x:c r="C21" s="28" t="str">
        <x:v>16.01.2026</x:v>
      </x:c>
      <x:c r="D21" s="28" t="str"/>
      <x:c r="E21" s="28" t="str">
        <x:v>Unternehmens-/Investorenpräsentation</x:v>
      </x:c>
      <x:c r="F21" s="28" t="str"/>
      <x:c r="G21" s="28" t="str">
        <x:v>TIC Gesamtportfolio / Pure Liquid Heat</x:v>
      </x:c>
      <x:c r="H21" s="28" t="str">
        <x:v>Herstellerpräsentation mit zahlreichen ungeprüften Claims</x:v>
      </x:c>
      <x:c r="I21" s="28" t="str">
        <x:v>UNCLEAR</x:v>
      </x:c>
      <x:c r="J21" s="28" t="str">
        <x:v>TIC-Gesamtpaket, Heizungsclaims, Marktvolumen, Absatzprognose und Portfolioargumentation</x:v>
      </x:c>
      <x:c r="K21" s="28" t="str">
        <x:v>TO ASSESS / POTENTIALLY RELEVANT</x:v>
      </x:c>
      <x:c r="L21" s="28" t="str">
        <x:v>Claim-Risikoanalyse, Markt-/Investoreninput</x:v>
      </x:c>
      <x:c r="M21" s="28" t="str">
        <x:v>TO ASSESS</x:v>
      </x:c>
      <x:c r="N21" s="28" t="str">
        <x:v>REVIEW REQUIRED</x:v>
      </x:c>
      <x:c r="O21" s="28" t="str"/>
      <x:c r="P21" s="28" t="str">
        <x:v>NOT STARTED</x:v>
      </x:c>
      <x:c r="Q21" s="28" t="str">
        <x:v>SRC-017</x:v>
      </x:c>
      <x:c r="R21" s="28" t="str">
        <x:v>Imported from TIPMS V2.0.</x:v>
      </x:c>
    </x:row>
    <x:row r="22" ht="42" customHeight="1">
      <x:c r="A22" s="28" t="str">
        <x:v>SRC-018</x:v>
      </x:c>
      <x:c r="B22" s="28" t="str">
        <x:v>Thermo- Altbau.pptx</x:v>
      </x:c>
      <x:c r="C22" s="28" t="str">
        <x:v>2026</x:v>
      </x:c>
      <x:c r="D22" s="28" t="str"/>
      <x:c r="E22" s="28" t="str">
        <x:v>Altbau-/Markt-/Businessplan-Präsentation</x:v>
      </x:c>
      <x:c r="F22" s="28" t="str">
        <x:v>PF-THERMO</x:v>
      </x:c>
      <x:c r="G22" s="28" t="str">
        <x:v>Pure Thermo</x:v>
      </x:c>
      <x:c r="H22" s="28" t="str">
        <x:v>gemischte Quelle: teils Rechenmodelle, teils Marketingclaims, teils normativ defensive Einordnung</x:v>
      </x:c>
      <x:c r="I22" s="28" t="str">
        <x:v>UNCLEAR</x:v>
      </x:c>
      <x:c r="J22" s="28" t="str">
        <x:v>Marktvolumen, Altbauwirkung, GEG-/DIN-Abgrenzung, Preis-/ROI-Modelle und Go-to-Market Deutschland/Norwegen</x:v>
      </x:c>
      <x:c r="K22" s="28" t="str">
        <x:v>TO ASSESS / POTENTIALLY RELEVANT</x:v>
      </x:c>
      <x:c r="L22" s="28" t="str">
        <x:v>Masterdeck-Storyline, Markt, Wirtschaftlichkeit, Claim-Bereinigung</x:v>
      </x:c>
      <x:c r="M22" s="28" t="str">
        <x:v>TO ASSESS</x:v>
      </x:c>
      <x:c r="N22" s="28" t="str">
        <x:v>REVIEW REQUIRED</x:v>
      </x:c>
      <x:c r="O22" s="28" t="str"/>
      <x:c r="P22" s="28" t="str">
        <x:v>NOT STARTED</x:v>
      </x:c>
      <x:c r="Q22" s="28" t="str">
        <x:v>SRC-018</x:v>
      </x:c>
      <x:c r="R22" s="28" t="str">
        <x:v>Imported from TIPMS V2.0.</x:v>
      </x:c>
    </x:row>
    <x:row r="23" ht="42" customHeight="1">
      <x:c r="A23" s="28" t="str">
        <x:v>SRC-019</x:v>
      </x:c>
      <x:c r="B23" s="28" t="str">
        <x:v>PureThermo_PureFire_Kombinationsbericht_SBI.docx</x:v>
      </x:c>
      <x:c r="C23" s="28" t="str">
        <x:v>06.2026</x:v>
      </x:c>
      <x:c r="D23" s="28" t="str"/>
      <x:c r="E23" s="28" t="str">
        <x:v>Technischer Kombinationsbericht</x:v>
      </x:c>
      <x:c r="F23" s="28" t="str">
        <x:v>PF-THERMO</x:v>
      </x:c>
      <x:c r="G23" s="28" t="str">
        <x:v>Pure Thermo + Pure Fire</x:v>
      </x:c>
      <x:c r="H23" s="28" t="str">
        <x:v>technischer Arbeitsbericht; keine formale Kombinationsklassifizierung</x:v>
      </x:c>
      <x:c r="I23" s="28" t="str">
        <x:v>UNCLEAR</x:v>
      </x:c>
      <x:c r="J23" s="28" t="str">
        <x:v>Vergleich SBI-Einzelprüfungen, FIGRA/THR/SMOGRA/TSP, technische Kombinationshypothese und Prüfprogramm</x:v>
      </x:c>
      <x:c r="K23" s="28" t="str">
        <x:v>TO ASSESS / POTENTIALLY RELEVANT</x:v>
      </x:c>
      <x:c r="L23" s="28" t="str">
        <x:v>Brandstrategie und Prüf-Roadmap</x:v>
      </x:c>
      <x:c r="M23" s="28" t="str">
        <x:v>TO ASSESS</x:v>
      </x:c>
      <x:c r="N23" s="28" t="str">
        <x:v>REVIEW REQUIRED</x:v>
      </x:c>
      <x:c r="O23" s="28" t="str"/>
      <x:c r="P23" s="28" t="str">
        <x:v>NOT STARTED</x:v>
      </x:c>
      <x:c r="Q23" s="28" t="str">
        <x:v>SRC-019</x:v>
      </x:c>
      <x:c r="R23" s="28" t="str">
        <x:v>Imported from TIPMS V2.0.</x:v>
      </x:c>
    </x:row>
    <x:row r="24" ht="42" customHeight="1">
      <x:c r="A24" s="28" t="str">
        <x:v>SRC-020</x:v>
      </x:c>
      <x:c r="B24" s="28" t="str">
        <x:v>Frage_Antwort_Bericht_Pure_Thermo_komplett_ergaenzt(1).docx</x:v>
      </x:c>
      <x:c r="C24" s="28" t="str">
        <x:v>07.2026</x:v>
      </x:c>
      <x:c r="D24" s="28" t="str"/>
      <x:c r="E24" s="28" t="str">
        <x:v>Technischer Frage-/Antwortbericht</x:v>
      </x:c>
      <x:c r="F24" s="28" t="str">
        <x:v>PF-THERMO</x:v>
      </x:c>
      <x:c r="G24" s="28" t="str">
        <x:v>Pure Thermo</x:v>
      </x:c>
      <x:c r="H24" s="28" t="str">
        <x:v>kundenfähiger technischer Entwurf</x:v>
      </x:c>
      <x:c r="I24" s="28" t="str">
        <x:v>UNCLEAR</x:v>
      </x:c>
      <x:c r="J24" s="28" t="str">
        <x:v>Kennwerte, Diffusion, R-Werte, Varianten, Anwendungen, Monitoring, offene Prüfungen und Maßnahmenplan</x:v>
      </x:c>
      <x:c r="K24" s="28" t="str">
        <x:v>TO ASSESS / POTENTIALLY RELEVANT</x:v>
      </x:c>
      <x:c r="L24" s="28" t="str">
        <x:v>Technikdaten, Energieberaterpaket, Maßnahmen</x:v>
      </x:c>
      <x:c r="M24" s="28" t="str">
        <x:v>TO ASSESS</x:v>
      </x:c>
      <x:c r="N24" s="28" t="str">
        <x:v>REVIEW REQUIRED</x:v>
      </x:c>
      <x:c r="O24" s="28" t="str"/>
      <x:c r="P24" s="28" t="str">
        <x:v>NOT STARTED</x:v>
      </x:c>
      <x:c r="Q24" s="28" t="str">
        <x:v>SRC-020</x:v>
      </x:c>
      <x:c r="R24" s="28" t="str">
        <x:v>Imported from TIPMS V2.0.</x:v>
      </x:c>
    </x:row>
    <x:row r="25" ht="42" customHeight="1">
      <x:c r="A25" s="28" t="str">
        <x:v>SRC-021</x:v>
      </x:c>
      <x:c r="B25" s="28" t="str">
        <x:v>Pure_Thermo_Energieberater_Bericht_mit_U_Wert_Grafik(1).docx</x:v>
      </x:c>
      <x:c r="C25" s="28" t="str">
        <x:v>07.2026</x:v>
      </x:c>
      <x:c r="D25" s="28" t="str"/>
      <x:c r="E25" s="28" t="str">
        <x:v>Energieberaterbericht</x:v>
      </x:c>
      <x:c r="F25" s="28" t="str">
        <x:v>PF-THERMO</x:v>
      </x:c>
      <x:c r="G25" s="28" t="str">
        <x:v>Pure Thermo</x:v>
      </x:c>
      <x:c r="H25" s="28" t="str">
        <x:v>fachlich defensive Bewertung</x:v>
      </x:c>
      <x:c r="I25" s="28" t="str">
        <x:v>UNCLEAR</x:v>
      </x:c>
      <x:c r="J25" s="28" t="str">
        <x:v>U-Wert-Beispiele, Oberflächentemperatur, Schimmelprävention, Anwendungsgrenzen, Pilotprojekt</x:v>
      </x:c>
      <x:c r="K25" s="28" t="str">
        <x:v>TO ASSESS / POTENTIALLY RELEVANT</x:v>
      </x:c>
      <x:c r="L25" s="28" t="str">
        <x:v>Energieberater-/Bauverbandskommunikation</x:v>
      </x:c>
      <x:c r="M25" s="28" t="str">
        <x:v>TO ASSESS</x:v>
      </x:c>
      <x:c r="N25" s="28" t="str">
        <x:v>REVIEW REQUIRED</x:v>
      </x:c>
      <x:c r="O25" s="28" t="str"/>
      <x:c r="P25" s="28" t="str">
        <x:v>NOT STARTED</x:v>
      </x:c>
      <x:c r="Q25" s="28" t="str">
        <x:v>SRC-021</x:v>
      </x:c>
      <x:c r="R25" s="28" t="str">
        <x:v>Imported from TIPMS V2.0.</x:v>
      </x:c>
    </x:row>
    <x:row r="26" ht="42" customHeight="1">
      <x:c r="A26" s="28" t="str">
        <x:v>SRC-022</x:v>
      </x:c>
      <x:c r="B26" s="28" t="str">
        <x:v>PV-Folie_Word_Bericht_mit_realbildern_integrierte_Fassadenzeichnungen.docx</x:v>
      </x:c>
      <x:c r="C26" s="28" t="str">
        <x:v>12.06.2026</x:v>
      </x:c>
      <x:c r="D26" s="28" t="str"/>
      <x:c r="E26" s="28" t="str">
        <x:v>Konzept-/Anwendungsbericht</x:v>
      </x:c>
      <x:c r="F26" s="28" t="str">
        <x:v>TECH-PV</x:v>
      </x:c>
      <x:c r="G26" s="28" t="str">
        <x:v>PV-Kunststofffolie</x:v>
      </x:c>
      <x:c r="H26" s="28" t="str">
        <x:v>Konzeptwerte; Validierung erforderlich</x:v>
      </x:c>
      <x:c r="I26" s="28" t="str">
        <x:v>UNCLEAR</x:v>
      </x:c>
      <x:c r="J26" s="28" t="str">
        <x:v>540 W, 6,5 kg, 150 €/m², Profil-/CLIX-System, Dach/Fassade, Roadmap und Referenzbilder</x:v>
      </x:c>
      <x:c r="K26" s="28" t="str">
        <x:v>OUT OF CURRENT SCOPE</x:v>
      </x:c>
      <x:c r="L26" s="28" t="str">
        <x:v>PV-Systemakte und Investoren-/Partnerkommunikation</x:v>
      </x:c>
      <x:c r="M26" s="28" t="str">
        <x:v>TO ASSESS</x:v>
      </x:c>
      <x:c r="N26" s="28" t="str">
        <x:v>REVIEW REQUIRED</x:v>
      </x:c>
      <x:c r="O26" s="28" t="str"/>
      <x:c r="P26" s="28" t="str">
        <x:v>NOT STARTED</x:v>
      </x:c>
      <x:c r="Q26" s="28" t="str">
        <x:v>SRC-022</x:v>
      </x:c>
      <x:c r="R26" s="28" t="str">
        <x:v>Imported from TIPMS V2.0.</x:v>
      </x:c>
    </x:row>
    <x:row r="27" ht="42" customHeight="1">
      <x:c r="A27" s="28" t="str">
        <x:v>SRC-023</x:v>
      </x:c>
      <x:c r="B27" s="28" t="str">
        <x:v>TII_PureBoatProtect_MasterDeck_2026_DE_mit_Logo.pptx</x:v>
      </x:c>
      <x:c r="C27" s="28" t="str">
        <x:v>2026</x:v>
      </x:c>
      <x:c r="D27" s="28" t="str"/>
      <x:c r="E27" s="28" t="str">
        <x:v>Master Deck</x:v>
      </x:c>
      <x:c r="F27" s="28" t="str">
        <x:v>PF-BOAT</x:v>
      </x:c>
      <x:c r="G27" s="28" t="str">
        <x:v>Pure Boat Protect</x:v>
      </x:c>
      <x:c r="H27" s="28" t="str">
        <x:v>Hersteller-/Projektpräsentation; objektbezogene Validierung nötig</x:v>
      </x:c>
      <x:c r="I27" s="28" t="str">
        <x:v>UNCLEAR</x:v>
      </x:c>
      <x:c r="J27" s="28" t="str">
        <x:v>Yacht-/Marine-Oberflächenschutz, Zonenlogik, bis 90 m²/L, bis 3 Jahre, Werft-GTM</x:v>
      </x:c>
      <x:c r="K27" s="28" t="str">
        <x:v>TO ASSESS / POTENTIALLY RELEVANT</x:v>
      </x:c>
      <x:c r="L27" s="28" t="str">
        <x:v>Produktakte, Vertrieb, Referenzplanung</x:v>
      </x:c>
      <x:c r="M27" s="28" t="str">
        <x:v>TO ASSESS</x:v>
      </x:c>
      <x:c r="N27" s="28" t="str">
        <x:v>REVIEW REQUIRED</x:v>
      </x:c>
      <x:c r="O27" s="28" t="str"/>
      <x:c r="P27" s="28" t="str">
        <x:v>NOT STARTED</x:v>
      </x:c>
      <x:c r="Q27" s="28" t="str">
        <x:v>SRC-023</x:v>
      </x:c>
      <x:c r="R27" s="28" t="str">
        <x:v>Imported from TIPMS V2.0.</x:v>
      </x:c>
    </x:row>
    <x:row r="28" ht="42" customHeight="1">
      <x:c r="A28" s="28" t="str">
        <x:v>SRC-024</x:v>
      </x:c>
      <x:c r="B28" s="28" t="str">
        <x:v>TII_PureLiquidHeat_MasterDeck_2026_DE_mit_Logo.pptx</x:v>
      </x:c>
      <x:c r="C28" s="28" t="str">
        <x:v>2026</x:v>
      </x:c>
      <x:c r="D28" s="28" t="str">
        <x:v>TII Technologies</x:v>
      </x:c>
      <x:c r="E28" s="28" t="str">
        <x:v>Master Deck editable source</x:v>
      </x:c>
      <x:c r="F28" s="28" t="str">
        <x:v>PF-LHEAT</x:v>
      </x:c>
      <x:c r="G28" s="28" t="str">
        <x:v>Pure Liquid Heat</x:v>
      </x:c>
      <x:c r="H28" s="28" t="str">
        <x:v>Editable duplicate of current master deck</x:v>
      </x:c>
      <x:c r="I28" s="28" t="str">
        <x:v>CURRENT / DUPLICATE FORMAT</x:v>
      </x:c>
      <x:c r="J28" s="28" t="str">
        <x:v>Editable source of SRC-010; same narrative, application, safety and validation content</x:v>
      </x:c>
      <x:c r="K28" s="28" t="str">
        <x:v>CRITICAL - editing/asset source</x:v>
      </x:c>
      <x:c r="L28" s="28" t="str">
        <x:v>Master editable / asset extraction</x:v>
      </x:c>
      <x:c r="M28" s="28" t="str">
        <x:v>HIGH</x:v>
      </x:c>
      <x:c r="N28" s="28" t="str">
        <x:v>REVIEW REQUIRED</x:v>
      </x:c>
      <x:c r="O28" s="28" t="str">
        <x:v>Same technical conflicts as SRC-010</x:v>
      </x:c>
      <x:c r="P28" s="28" t="str">
        <x:v>COMPLETE</x:v>
      </x:c>
      <x:c r="Q28" s="28" t="str">
        <x:v>SRC-024</x:v>
      </x:c>
      <x:c r="R28" s="28" t="str">
        <x:v>Use as editable asset source; content authority equivalent to SRC-010.</x:v>
      </x:c>
    </x:row>
    <x:row r="29" ht="42" customHeight="1">
      <x:c r="A29" s="28" t="str">
        <x:v>SRC-025</x:v>
      </x:c>
      <x:c r="B29" s="28" t="str">
        <x:v>TII_PureProtect_T730_MasterDeck_2026_DE_mit_Logo.pptx</x:v>
      </x:c>
      <x:c r="C29" s="28" t="str">
        <x:v>2026</x:v>
      </x:c>
      <x:c r="D29" s="28" t="str"/>
      <x:c r="E29" s="28" t="str">
        <x:v>Master Deck</x:v>
      </x:c>
      <x:c r="F29" s="28" t="str">
        <x:v>PF-T730</x:v>
      </x:c>
      <x:c r="G29" s="28" t="str">
        <x:v>Pure Protect T 730</x:v>
      </x:c>
      <x:c r="H29" s="28" t="str">
        <x:v>Herstellerpräsentation mit Testhinweisen; Originalberichte/BPR offen</x:v>
      </x:c>
      <x:c r="I29" s="28" t="str">
        <x:v>UNCLEAR</x:v>
      </x:c>
      <x:c r="J29" s="28" t="str">
        <x:v>antimikrobielle Touchpoint-Beschichtung, ISO-Testhinweise, BPR-/treated-article-Risiko, Facility-GTM</x:v>
      </x:c>
      <x:c r="K29" s="28" t="str">
        <x:v>TO ASSESS / POTENTIALLY RELEVANT</x:v>
      </x:c>
      <x:c r="L29" s="28" t="str">
        <x:v>Regulatory, Pilot, Vertrieb</x:v>
      </x:c>
      <x:c r="M29" s="28" t="str">
        <x:v>TO ASSESS</x:v>
      </x:c>
      <x:c r="N29" s="28" t="str">
        <x:v>REVIEW REQUIRED</x:v>
      </x:c>
      <x:c r="O29" s="28" t="str"/>
      <x:c r="P29" s="28" t="str">
        <x:v>NOT STARTED</x:v>
      </x:c>
      <x:c r="Q29" s="28" t="str">
        <x:v>SRC-025</x:v>
      </x:c>
      <x:c r="R29" s="28" t="str">
        <x:v>Imported from TIPMS V2.0.</x:v>
      </x:c>
    </x:row>
    <x:row r="30" ht="42" customHeight="1">
      <x:c r="A30" s="28" t="str">
        <x:v>SRC-026</x:v>
      </x:c>
      <x:c r="B30" s="28" t="str">
        <x:v>TII_PureSurfaceProtect_MasterDeck_2026_DE_UAE_Referenz_werblicher_v2.pptx</x:v>
      </x:c>
      <x:c r="C30" s="28" t="str">
        <x:v>2026</x:v>
      </x:c>
      <x:c r="D30" s="28" t="str"/>
      <x:c r="E30" s="28" t="str">
        <x:v>Master Deck / Referenz</x:v>
      </x:c>
      <x:c r="F30" s="28" t="str">
        <x:v>PF-SURFACE</x:v>
      </x:c>
      <x:c r="G30" s="28" t="str">
        <x:v>Pure Surface Protect</x:v>
      </x:c>
      <x:c r="H30" s="28" t="str">
        <x:v>Projekt-/Herstellerbasis; Langzeit- und Objektbelege ergänzen</x:v>
      </x:c>
      <x:c r="I30" s="28" t="str">
        <x:v>UNCLEAR</x:v>
      </x:c>
      <x:c r="J30" s="28" t="str">
        <x:v>2–8 µm, 70–90 m²/L, LANUV- und UAE-Fassadenreferenz, Lifecycle-/Facility-Story</x:v>
      </x:c>
      <x:c r="K30" s="28" t="str">
        <x:v>TO ASSESS / POTENTIALLY RELEVANT</x:v>
      </x:c>
      <x:c r="L30" s="28" t="str">
        <x:v>Produktakte, Vertrieb, Investor</x:v>
      </x:c>
      <x:c r="M30" s="28" t="str">
        <x:v>TO ASSESS</x:v>
      </x:c>
      <x:c r="N30" s="28" t="str">
        <x:v>REVIEW REQUIRED</x:v>
      </x:c>
      <x:c r="O30" s="28" t="str"/>
      <x:c r="P30" s="28" t="str">
        <x:v>NOT STARTED</x:v>
      </x:c>
      <x:c r="Q30" s="28" t="str">
        <x:v>SRC-026</x:v>
      </x:c>
      <x:c r="R30" s="28" t="str">
        <x:v>Imported from TIPMS V2.0.</x:v>
      </x:c>
    </x:row>
    <x:row r="31" ht="42" customHeight="1">
      <x:c r="A31" s="28" t="str">
        <x:v>SRC-027</x:v>
      </x:c>
      <x:c r="B31" s="28" t="str">
        <x:v>TII_PureThermo_MasterDeck_2026_DE_final_mit_8A_nach_Kapitel8-2.pptx</x:v>
      </x:c>
      <x:c r="C31" s="28" t="str">
        <x:v>2026</x:v>
      </x:c>
      <x:c r="D31" s="28" t="str"/>
      <x:c r="E31" s="28" t="str">
        <x:v>Master Deck erweitert</x:v>
      </x:c>
      <x:c r="F31" s="28" t="str">
        <x:v>PF-THERMO</x:v>
      </x:c>
      <x:c r="G31" s="28" t="str">
        <x:v>Pure Thermo</x:v>
      </x:c>
      <x:c r="H31" s="28" t="str">
        <x:v>Strategie-/Herstellerdeck; zahlreiche Claims weiterhin validierungsbedürftig</x:v>
      </x:c>
      <x:c r="I31" s="28" t="str">
        <x:v>UNCLEAR</x:v>
      </x:c>
      <x:c r="J31" s="28" t="str">
        <x:v>Pure-Thermo-Gesamtstory mit Akustik, Zukunft/Skalierung, Regulatory Market Access, Claims/QA/Long-Term-Performance</x:v>
      </x:c>
      <x:c r="K31" s="28" t="str">
        <x:v>TO ASSESS / POTENTIALLY RELEVANT</x:v>
      </x:c>
      <x:c r="L31" s="28" t="str">
        <x:v>Masterdeck, Regulatory, Akustik, Investor, QA</x:v>
      </x:c>
      <x:c r="M31" s="28" t="str">
        <x:v>TO ASSESS</x:v>
      </x:c>
      <x:c r="N31" s="28" t="str">
        <x:v>REVIEW REQUIRED</x:v>
      </x:c>
      <x:c r="O31" s="28" t="str"/>
      <x:c r="P31" s="28" t="str">
        <x:v>NOT STARTED</x:v>
      </x:c>
      <x:c r="Q31" s="28" t="str">
        <x:v>SRC-027</x:v>
      </x:c>
      <x:c r="R31" s="28" t="str">
        <x:v>Imported from TIPMS V2.0.</x:v>
      </x:c>
    </x:row>
    <x:row r="32" ht="42" customHeight="1">
      <x:c r="A32" s="28" t="str">
        <x:v>SRC-028</x:v>
      </x:c>
      <x:c r="B32" s="28" t="str">
        <x:v>TII_PureThermo_MasterDeck_2026_DE_mit_Logo.pptx</x:v>
      </x:c>
      <x:c r="C32" s="28" t="str">
        <x:v>2026</x:v>
      </x:c>
      <x:c r="D32" s="28" t="str"/>
      <x:c r="E32" s="28" t="str">
        <x:v>Master Deck Basisversion</x:v>
      </x:c>
      <x:c r="F32" s="28" t="str">
        <x:v>PF-THERMO</x:v>
      </x:c>
      <x:c r="G32" s="28" t="str">
        <x:v>Pure Thermo</x:v>
      </x:c>
      <x:c r="H32" s="28" t="str">
        <x:v>Strategie-/Herstellerdeck; durch SRC-027 weitgehend überholt</x:v>
      </x:c>
      <x:c r="I32" s="28" t="str">
        <x:v>UNCLEAR</x:v>
      </x:c>
      <x:c r="J32" s="28" t="str">
        <x:v>Basis-Masterdeck ohne erweiterte Akustik-/Länder-/QA-Kapitel</x:v>
      </x:c>
      <x:c r="K32" s="28" t="str">
        <x:v>TO ASSESS / POTENTIALLY RELEVANT</x:v>
      </x:c>
      <x:c r="L32" s="28" t="str">
        <x:v>Versionsvergleich / Archiv</x:v>
      </x:c>
      <x:c r="M32" s="28" t="str">
        <x:v>TO ASSESS</x:v>
      </x:c>
      <x:c r="N32" s="28" t="str">
        <x:v>REVIEW REQUIRED</x:v>
      </x:c>
      <x:c r="O32" s="28" t="str"/>
      <x:c r="P32" s="28" t="str">
        <x:v>NOT STARTED</x:v>
      </x:c>
      <x:c r="Q32" s="28" t="str">
        <x:v>SRC-028</x:v>
      </x:c>
      <x:c r="R32" s="28" t="str">
        <x:v>Imported from TIPMS V2.0.</x:v>
      </x:c>
    </x:row>
    <x:row r="33" ht="42" customHeight="1">
      <x:c r="A33" s="28" t="str">
        <x:v>SRC-029</x:v>
      </x:c>
      <x:c r="B33" s="28" t="str">
        <x:v>TII_PureWaterProtect_MasterDeck_2026_DE_mit_Logo.pptx</x:v>
      </x:c>
      <x:c r="C33" s="28" t="str">
        <x:v>2026</x:v>
      </x:c>
      <x:c r="D33" s="28" t="str"/>
      <x:c r="E33" s="28" t="str">
        <x:v>Master Deck</x:v>
      </x:c>
      <x:c r="F33" s="28" t="str">
        <x:v>PF-WATER</x:v>
      </x:c>
      <x:c r="G33" s="28" t="str">
        <x:v>Pure Water Protect</x:v>
      </x:c>
      <x:c r="H33" s="28" t="str">
        <x:v>Hersteller-/Projektpräsentation; Saison- und Umweltbelege offen</x:v>
      </x:c>
      <x:c r="I33" s="28" t="str">
        <x:v>UNCLEAR</x:v>
      </x:c>
      <x:c r="J33" s="28" t="str">
        <x:v>biozidfreie Marine-Easy-to-clean-Positionierung, &gt;200 Boote, 70–90 m²/L, Umwelt-/Werft-/Hafenpfad</x:v>
      </x:c>
      <x:c r="K33" s="28" t="str">
        <x:v>TO ASSESS / POTENTIALLY RELEVANT</x:v>
      </x:c>
      <x:c r="L33" s="28" t="str">
        <x:v>Marine-GTM, ESG, Prüfplanung</x:v>
      </x:c>
      <x:c r="M33" s="28" t="str">
        <x:v>TO ASSESS</x:v>
      </x:c>
      <x:c r="N33" s="28" t="str">
        <x:v>REVIEW REQUIRED</x:v>
      </x:c>
      <x:c r="O33" s="28" t="str"/>
      <x:c r="P33" s="28" t="str">
        <x:v>NOT STARTED</x:v>
      </x:c>
      <x:c r="Q33" s="28" t="str">
        <x:v>SRC-029</x:v>
      </x:c>
      <x:c r="R33" s="28" t="str">
        <x:v>Imported from TIPMS V2.0.</x:v>
      </x:c>
    </x:row>
    <x:row r="34" ht="42" customHeight="1">
      <x:c r="A34" s="28" t="str">
        <x:v>SRC-030</x:v>
      </x:c>
      <x:c r="B34" s="28" t="str">
        <x:v>TII_PureWoodProtect_MasterDeck_2026_DE_mit_Logo.pptx</x:v>
      </x:c>
      <x:c r="C34" s="28" t="str">
        <x:v>2026</x:v>
      </x:c>
      <x:c r="D34" s="28" t="str"/>
      <x:c r="E34" s="28" t="str">
        <x:v>Master Deck</x:v>
      </x:c>
      <x:c r="F34" s="28" t="str">
        <x:v>PF-WOOD</x:v>
      </x:c>
      <x:c r="G34" s="28" t="str">
        <x:v>Pure Wood Protect</x:v>
      </x:c>
      <x:c r="H34" s="28" t="str">
        <x:v>Hersteller-/Projektpräsentation; holzartspezifische Validierung offen</x:v>
      </x:c>
      <x:c r="I34" s="28" t="str">
        <x:v>UNCLEAR</x:v>
      </x:c>
      <x:c r="J34" s="28" t="str">
        <x:v>transparenter Holzschutz aus Surface-Plattform, Holzartenmatrix, Musterflächen, Bewitterungs- und Biozidabgrenzung</x:v>
      </x:c>
      <x:c r="K34" s="28" t="str">
        <x:v>TO ASSESS / POTENTIALLY RELEVANT</x:v>
      </x:c>
      <x:c r="L34" s="28" t="str">
        <x:v>Holz-GTM, Prüf- und Referenzplanung</x:v>
      </x:c>
      <x:c r="M34" s="28" t="str">
        <x:v>TO ASSESS</x:v>
      </x:c>
      <x:c r="N34" s="28" t="str">
        <x:v>REVIEW REQUIRED</x:v>
      </x:c>
      <x:c r="O34" s="28" t="str"/>
      <x:c r="P34" s="28" t="str">
        <x:v>NOT STARTED</x:v>
      </x:c>
      <x:c r="Q34" s="28" t="str">
        <x:v>SRC-030</x:v>
      </x:c>
      <x:c r="R34" s="28" t="str">
        <x:v>Imported from TIPMS V2.0.</x:v>
      </x:c>
    </x:row>
    <x:row r="35">
      <x:c r="A35" t="str">
        <x:v>SRC-031</x:v>
      </x:c>
      <x:c r="B35" t="str">
        <x:v>Frage_Antwort_Bericht_Pure_Liquid_Heat.docx</x:v>
      </x:c>
      <x:c r="C35" t="str">
        <x:v>03.07.2026</x:v>
      </x:c>
      <x:c r="D35" t="str">
        <x:v>TII / technischer Kundenentwurf</x:v>
      </x:c>
      <x:c r="E35" t="str">
        <x:v>Technischer Frage-/Antwortbericht</x:v>
      </x:c>
      <x:c r="F35" t="str">
        <x:v>PF-LHEAT</x:v>
      </x:c>
      <x:c r="G35" t="str">
        <x:v>Pure Liquid Heat</x:v>
      </x:c>
      <x:c r="H35" t="str">
        <x:v>Interne technische Stellungnahme; explizit mit externem Validierungsbedarf</x:v>
      </x:c>
      <x:c r="I35" t="str">
        <x:v>CURRENT / PARTLY SUPERSEDED</x:v>
      </x:c>
      <x:c r="J35" t="str">
        <x:v>Physikalischer Effekt, Effizienzgrenzen, Portugal 24/7-Referenz, Anwendungen, Prüf-/Marktreifeplan</x:v>
      </x:c>
      <x:c r="K35" t="str">
        <x:v>CRITICAL - evidence/claim boundaries</x:v>
      </x:c>
      <x:c r="L35" t="str">
        <x:v>Evidence, technical explanation, validation roadmap</x:v>
      </x:c>
      <x:c r="M35" t="str">
        <x:v>LOW</x:v>
      </x:c>
      <x:c r="N35" t="str">
        <x:v>REVIEW REQUIRED</x:v>
      </x:c>
      <x:c r="O35" t="str">
        <x:v>Substrate list includes Fermacell; superseded by corrected SRC-032</x:v>
      </x:c>
      <x:c r="P35" t="str">
        <x:v>COMPLETE</x:v>
      </x:c>
      <x:c r="Q35"/>
      <x:c r="R35" t="str">
        <x:v>Strong source for evidence boundaries and Portugal reference; current substrate wording must defer to SRC-032.</x:v>
      </x:c>
    </x:row>
    <x:row r="36">
      <x:c r="A36" t="str">
        <x:v>SRC-032</x:v>
      </x:c>
      <x:c r="B36" t="str">
        <x:v>Liquid_Heat_Anwendungsuebersicht_korrigiert(1).docx</x:v>
      </x:c>
      <x:c r="C36" t="str">
        <x:v>Revidierte Fassung; Datum im Dokument nicht eindeutig</x:v>
      </x:c>
      <x:c r="D36" t="str">
        <x:v>TII Technologies</x:v>
      </x:c>
      <x:c r="E36" t="str">
        <x:v>Korrigierter Anwendungs-/Systembericht</x:v>
      </x:c>
      <x:c r="F36" t="str">
        <x:v>PF-LHEAT</x:v>
      </x:c>
      <x:c r="G36" t="str">
        <x:v>Pure Liquid Heat</x:v>
      </x:c>
      <x:c r="H36" t="str">
        <x:v>Current corrected internal technical definition</x:v>
      </x:c>
      <x:c r="I36" t="str">
        <x:v>CURRENT / CONTROLLING FOR BUILD-UP</x:v>
      </x:c>
      <x:c r="J36" t="str">
        <x:v>Corrected standard build-up: only GFB/GFK/Vermiculite; no primer; contact/sensor/thermal fuse; optional protective layer; broad application and safety overview</x:v>
      </x:c>
      <x:c r="K36" t="str">
        <x:v>CRITICAL - controlling technical website source</x:v>
      </x:c>
      <x:c r="L36" t="str">
        <x:v>System definition, applications, safety</x:v>
      </x:c>
      <x:c r="M36" t="str">
        <x:v>HIGH</x:v>
      </x:c>
      <x:c r="N36" t="str">
        <x:v>REVIEW REQUIRED</x:v>
      </x:c>
      <x:c r="O36" t="str">
        <x:v>Conflicts with older broader substrate claims; some concept temperature ranges require validation</x:v>
      </x:c>
      <x:c r="P36" t="str">
        <x:v>COMPLETE</x:v>
      </x:c>
      <x:c r="Q36"/>
      <x:c r="R36" t="str">
        <x:v>Use as controlling interim source for substrate and layer-stack wording until formal product specification exists.</x:v>
      </x:c>
    </x:row>
    <x:row r="37">
      <x:c r="A37" t="str">
        <x:v>SRC-033</x:v>
      </x:c>
      <x:c r="B37" t="str">
        <x:v>IR_Paneel_Gesamtbericht_mit_Diagrammen.docx</x:v>
      </x:c>
      <x:c r="C37" t="str">
        <x:v>09/2026; Dokumentdatum nicht eindeutig</x:v>
      </x:c>
      <x:c r="D37"/>
      <x:c r="E37" t="str">
        <x:v>Interner Analyse-/Messbericht</x:v>
      </x:c>
      <x:c r="F37" t="str">
        <x:v>PF-LHEAT</x:v>
      </x:c>
      <x:c r="G37" t="str">
        <x:v>Pure Liquid Heat</x:v>
      </x:c>
      <x:c r="H37" t="str">
        <x:v>Internal measurement synthesis</x:v>
      </x:c>
      <x:c r="I37" t="str">
        <x:v>CURRENT - INTERNAL EVIDENCE</x:v>
      </x:c>
      <x:c r="J37" t="str">
        <x:v>15/30 mm conductor variants; 1x/2x coating; geometry, power, temperature; derived current, effective resistance and W/m²; development formulas and next tests</x:v>
      </x:c>
      <x:c r="K37" t="str">
        <x:v>CRITICAL - technical evidence</x:v>
      </x:c>
      <x:c r="L37" t="str">
        <x:v>Measured internal performance basis / development</x:v>
      </x:c>
      <x:c r="M37" t="str">
        <x:v>LOW</x:v>
      </x:c>
      <x:c r="N37" t="str">
        <x:v>REVIEW REQUIRED</x:v>
      </x:c>
      <x:c r="O37" t="str">
        <x:v>No generic product-family release values; source includes derived metrics</x:v>
      </x:c>
      <x:c r="P37" t="str">
        <x:v>COMPLETE</x:v>
      </x:c>
      <x:c r="Q37" t="str">
        <x:v>SRC-031</x:v>
      </x:c>
      <x:c r="R37" t="str">
        <x:v>B for measured/internal observations; C for calculations/derived metrics; no external certification.</x:v>
      </x:c>
    </x:row>
    <x:row r="38">
      <x:c r="A38" t="str">
        <x:v>SRC-034</x:v>
      </x:c>
      <x:c r="B38" t="str">
        <x:v>TII_Pure_Liquid_Heat_Vergleich_Heizsysteme_DE.docx</x:v>
      </x:c>
      <x:c r="C38" t="str">
        <x:v>11.08.2026</x:v>
      </x:c>
      <x:c r="D38" t="str">
        <x:v>TII Technologies</x:v>
      </x:c>
      <x:c r="E38" t="str">
        <x:v>Technischer Vergleichsbericht</x:v>
      </x:c>
      <x:c r="F38" t="str">
        <x:v>PF-LHEAT</x:v>
      </x:c>
      <x:c r="G38" t="str">
        <x:v>Pure Liquid Heat</x:v>
      </x:c>
      <x:c r="H38" t="str">
        <x:v>Internal technical comparison / claim-boundary source</x:v>
      </x:c>
      <x:c r="I38" t="str">
        <x:v>CURRENT - CLAIM BOUNDARY</x:v>
      </x:c>
      <x:c r="J38" t="str">
        <x:v>Direct-electric-heating physics, zone/hybrid logic, application positioning, system build-up, safety and market-readiness constraints</x:v>
      </x:c>
      <x:c r="K38" t="str">
        <x:v>CRITICAL - positioning / claim governance</x:v>
      </x:c>
      <x:c r="L38" t="str">
        <x:v>Technical narrative / safe comparison</x:v>
      </x:c>
      <x:c r="M38" t="str">
        <x:v>LOW</x:v>
      </x:c>
      <x:c r="N38" t="str">
        <x:v>REVIEW REQUIRED</x:v>
      </x:c>
      <x:c r="O38" t="str">
        <x:v>Must not be used to claim generic efficiency or savings superiority</x:v>
      </x:c>
      <x:c r="P38" t="str">
        <x:v>COMPLETE</x:v>
      </x:c>
      <x:c r="Q38" t="str">
        <x:v>SRC-032</x:v>
      </x:c>
      <x:c r="R38" t="str">
        <x:v>Strong website-safe source for honest positioning; not independent product validation.</x:v>
      </x:c>
    </x:row>
    <x:row r="39">
      <x:c r="A39" t="str">
        <x:v>SRC-035</x:v>
      </x:c>
      <x:c r="B39" t="str">
        <x:v>PURE_PROTECT_SURFACE_TII_Praesentation.pptx</x:v>
      </x:c>
      <x:c r="C39" t="str">
        <x:v>2026; date not explicit</x:v>
      </x:c>
      <x:c r="D39" t="str">
        <x:v>TII Technologies</x:v>
      </x:c>
      <x:c r="E39" t="str">
        <x:v>Customer presentation / evidence synthesis</x:v>
      </x:c>
      <x:c r="F39" t="str">
        <x:v>PF-SURFACE / PF-FLOOR / PF-WATER</x:v>
      </x:c>
      <x:c r="G39" t="str">
        <x:v>Pure Surface / Floor / Water Protect</x:v>
      </x:c>
      <x:c r="H39" t="str">
        <x:v>Secondary synthesis of project/test documentation</x:v>
      </x:c>
      <x:c r="I39" t="str">
        <x:v>CURRENT - SECONDARY SOURCE</x:v>
      </x:c>
      <x:c r="J39" t="str">
        <x:v>LANUV case; Floor abrasion and DIBt references; Water/Surface Hydrotox report 4493, 64-day DSLT, pH/TOC details; application/QA logic</x:v>
      </x:c>
      <x:c r="K39" t="str">
        <x:v>HIGH - evidence detail / page enrichment</x:v>
      </x:c>
      <x:c r="L39" t="str">
        <x:v>Reference and evidence extraction</x:v>
      </x:c>
      <x:c r="M39" t="str">
        <x:v>MEDIUM</x:v>
      </x:c>
      <x:c r="N39" t="str">
        <x:v>REVIEW REQUIRED</x:v>
      </x:c>
      <x:c r="O39" t="str">
        <x:v>Original iTLC, DIBt and Hydrotox reports required before A-level or regulatory approval</x:v>
      </x:c>
      <x:c r="P39" t="str">
        <x:v>COMPLETE</x:v>
      </x:c>
      <x:c r="Q39" t="str">
        <x:v>SRC-033</x:v>
      </x:c>
      <x:c r="R39" t="str">
        <x:v>Use with qualification; secondary source cannot by itself upgrade evidence to A.</x:v>
      </x:c>
    </x:row>
    <x:row r="40">
      <x:c r="A40" t="str">
        <x:v>SRC-036</x:v>
      </x:c>
      <x:c r="B40" t="str">
        <x:v>it Coating -BoatProtect Vers.1.pptx</x:v>
      </x:c>
      <x:c r="C40" t="str">
        <x:v>11/2017</x:v>
      </x:c>
      <x:c r="D40" t="str">
        <x:v>Dipl.-Ing. Joachim Müller / historical deck</x:v>
      </x:c>
      <x:c r="E40" t="str">
        <x:v>Historical technology presentation</x:v>
      </x:c>
      <x:c r="F40" t="str">
        <x:v>PF-BOAT / PF-WATER</x:v>
      </x:c>
      <x:c r="G40" t="str">
        <x:v>Pure Boat / Water Protect</x:v>
      </x:c>
      <x:c r="H40" t="str">
        <x:v>Historical internal technology source</x:v>
      </x:c>
      <x:c r="I40" t="str">
        <x:v>HISTORICAL / UNVERIFIED</x:v>
      </x:c>
      <x:c r="J40" t="str">
        <x:v>Antifouling context, easy-to-clean development goals, 80–100 m²/L theoretical coverage, historical GRZ/HRZ friction values</x:v>
      </x:c>
      <x:c r="K40" t="str">
        <x:v>INTERNAL ONLY - evidence backlog</x:v>
      </x:c>
      <x:c r="L40" t="str">
        <x:v>R&amp;D history / claim verification backlog</x:v>
      </x:c>
      <x:c r="M40" t="str">
        <x:v>LOW</x:v>
      </x:c>
      <x:c r="N40" t="str">
        <x:v>NO</x:v>
      </x:c>
      <x:c r="O40" t="str">
        <x:v>Method, laboratory, recipe identity and transfer to current product are unresolved</x:v>
      </x:c>
      <x:c r="P40" t="str">
        <x:v>COMPLETE</x:v>
      </x:c>
      <x:c r="Q40" t="str">
        <x:v>SRC-034</x:v>
      </x:c>
      <x:c r="R40" t="str">
        <x:v>Do not publish friction, speed or fuel claims until original test and current-recipe mapping are verified.</x:v>
      </x:c>
    </x:row>
    <x:row r="41">
      <x:c r="A41" s="57" t="str">
        <x:v>SRC-WEB-SEP26</x:v>
      </x:c>
      <x:c r="B41" s="57" t="str">
        <x:v>PURE Technology Platform – Production Snapshot</x:v>
      </x:c>
      <x:c r="C41" s="57" t="str">
        <x:v>12.09.2026</x:v>
      </x:c>
      <x:c r="D41" s="57" t="str">
        <x:v>PURE / current Vercel deployment</x:v>
      </x:c>
      <x:c r="E41" s="57" t="str">
        <x:v>Website production snapshot</x:v>
      </x:c>
      <x:c r="F41" s="57" t="str">
        <x:v>PLATFORM / ALL</x:v>
      </x:c>
      <x:c r="G41" s="57" t="str">
        <x:v>Website</x:v>
      </x:c>
      <x:c r="H41" s="57" t="str">
        <x:v>Current public implementation / visual-content snapshot</x:v>
      </x:c>
      <x:c r="I41" s="57" t="str">
        <x:v>CURRENT</x:v>
      </x:c>
      <x:c r="J41" s="57" t="str">
        <x:v>Final website structure, routes, public wording and current visual implementation used for V1.3 reconciliation.</x:v>
      </x:c>
      <x:c r="K41" s="57" t="str">
        <x:v>CRITICAL - live website baseline</x:v>
      </x:c>
      <x:c r="L41" s="57" t="str">
        <x:v>Website QA / visual mapping / content status</x:v>
      </x:c>
      <x:c r="M41" s="57" t="str">
        <x:v>HIGH</x:v>
      </x:c>
      <x:c r="N41" s="57" t="str">
        <x:v>YES</x:v>
      </x:c>
      <x:c r="O41" s="57" t="str">
        <x:v>Website snapshot does not replace underlying technical source evidence.</x:v>
      </x:c>
      <x:c r="P41" s="57" t="str">
        <x:v>COMPLETE</x:v>
      </x:c>
      <x:c r="Q41" s="57"/>
      <x:c r="R41" s="57" t="str">
        <x:v>https://pure-flv9lo3mc-supervisor77dw-debugs-projects.vercel.app/ ; exterior route verified directly: https://pure-flv9lo3mc-supervisor77dw-debugs-projects.vercel.app/de/systeme/pure-thermo-exterior</x:v>
      </x:c>
    </x:row>
  </x:sheetData>
  <x:mergeCells>
    <x:mergeCell ref="A1:R1"/>
    <x:mergeCell ref="A2:R2"/>
  </x:mergeCells>
  <x:dataValidations count="3">
    <x:dataValidation type="list" sqref="I5:I1000">
      <x:formula1>"CURRENT,SUPERSEDED,UNCLEAR"</x:formula1>
    </x:dataValidation>
    <x:dataValidation type="list" sqref="N5:N1000">
      <x:formula1>99_LISTS!$F$4:$F$7</x:formula1>
    </x:dataValidation>
    <x:dataValidation type="list" sqref="P5:P1000">
      <x:formula1>"NOT STARTED,PARTIAL,COMPLETE,HOLD"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df0eb169304df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18" hidden="0" customWidth="1"/>
    <x:col min="5" max="5" width="18" hidden="0" customWidth="1"/>
    <x:col min="6" max="6" width="44" hidden="0" customWidth="1"/>
    <x:col min="7" max="7" width="34" hidden="0" customWidth="1"/>
    <x:col min="8" max="8" width="28" hidden="0" customWidth="1"/>
    <x:col min="9" max="9" width="18" hidden="0" customWidth="1"/>
    <x:col min="10" max="10" width="42" hidden="0" customWidth="1"/>
    <x:col min="11" max="11" width="38" hidden="0" customWidth="1"/>
    <x:col min="12" max="12" width="42" hidden="0" customWidth="1"/>
    <x:col min="13" max="13" width="18" hidden="0" customWidth="1"/>
    <x:col min="14" max="14" width="16" hidden="0" customWidth="1"/>
    <x:col min="15" max="15" width="38" hidden="0" customWidth="1"/>
  </x:cols>
  <x:sheetData>
    <x:row r="1" ht="26" customHeight="1">
      <x:c r="A1" s="4" t="str">
        <x:v>07 · CONFLICT REGISTER</x:v>
      </x:c>
    </x:row>
    <x:row r="2" ht="42" customHeight="1">
      <x:c r="A2" s="11" t="str">
        <x:v>Abweichende Quellen werden dokumentiert, nicht stillschweigend aufgelöst. Bis zur Klärung konservativ kommunizieren.</x:v>
      </x:c>
    </x:row>
    <x:row r="4" ht="34" customHeight="1">
      <x:c r="A4" s="20" t="str">
        <x:v>CONFLICT-ID</x:v>
      </x:c>
      <x:c r="B4" s="20" t="str">
        <x:v>PRODUCT FAMILY ID</x:v>
      </x:c>
      <x:c r="C4" s="20" t="str">
        <x:v>SYSTEM / VARIANT ID</x:v>
      </x:c>
      <x:c r="D4" s="20" t="str">
        <x:v>SOURCE A</x:v>
      </x:c>
      <x:c r="E4" s="20" t="str">
        <x:v>SOURCE B</x:v>
      </x:c>
      <x:c r="F4" s="20" t="str">
        <x:v>DEVIATING STATEMENT</x:v>
      </x:c>
      <x:c r="G4" s="20" t="str">
        <x:v>POSSIBLE CAUSE</x:v>
      </x:c>
      <x:c r="H4" s="20" t="str">
        <x:v>NEWER / STRONGER SOURCE</x:v>
      </x:c>
      <x:c r="I4" s="20" t="str">
        <x:v>STATUS</x:v>
      </x:c>
      <x:c r="J4" s="20" t="str">
        <x:v>RECOMMENDED CLARIFICATION</x:v>
      </x:c>
      <x:c r="K4" s="20" t="str">
        <x:v>WEBSITE IMPACT</x:v>
      </x:c>
      <x:c r="L4" s="20" t="str">
        <x:v>CONSERVATIVE INTERIM WORDING</x:v>
      </x:c>
      <x:c r="M4" s="20" t="str">
        <x:v>OWNER</x:v>
      </x:c>
      <x:c r="N4" s="20" t="str">
        <x:v>TARGET DATE</x:v>
      </x:c>
      <x:c r="O4" s="20" t="str">
        <x:v>NOTES</x:v>
      </x:c>
    </x:row>
    <x:row r="5">
      <x:c r="A5" t="str">
        <x:v>CNF-LH-001</x:v>
      </x:c>
      <x:c r="B5" t="str">
        <x:v>PF-LHEAT</x:v>
      </x:c>
      <x:c r="C5"/>
      <x:c r="D5" t="str">
        <x:v>SRC-032</x:v>
      </x:c>
      <x:c r="E5" t="str">
        <x:v>SRC-031 / SRC-010 / SRC-005</x:v>
      </x:c>
      <x:c r="F5" t="str">
        <x:v>Substrate scope: corrected source says only GFB/GFK/Vermiculite; older sources also mention Fermacell, concrete, ceramic, suitable system plate or OEM substrate.</x:v>
      </x:c>
      <x:c r="G5" t="str">
        <x:v>Earlier concept scope was broader; later corrected technical definition intentionally narrows direct substrates.</x:v>
      </x:c>
      <x:c r="H5" t="str">
        <x:v>SRC-032</x:v>
      </x:c>
      <x:c r="I5" t="str">
        <x:v>OPEN</x:v>
      </x:c>
      <x:c r="J5" t="str">
        <x:v>Formal substrate compatibility/release matrix and source version decision.</x:v>
      </x:c>
      <x:c r="K5" t="str">
        <x:v>CRITICAL: website must not list broader substrates.</x:v>
      </x:c>
      <x:c r="L5" t="str">
        <x:v>Current interim wording: direct substrate GFB, GFK or Vermiculite only.</x:v>
      </x:c>
      <x:c r="M5" t="str">
        <x:v>TII technical owner</x:v>
      </x:c>
      <x:c r="N5"/>
      <x:c r="O5" t="str">
        <x:v>Do not infer suitability of other substrates.</x:v>
      </x:c>
    </x:row>
    <x:row r="6">
      <x:c r="A6" t="str">
        <x:v>CNF-LH-002</x:v>
      </x:c>
      <x:c r="B6" t="str">
        <x:v>PF-LHEAT</x:v>
      </x:c>
      <x:c r="C6"/>
      <x:c r="D6" t="str">
        <x:v>SRC-032</x:v>
      </x:c>
      <x:c r="E6" t="str">
        <x:v>SRC-002 / older concept texts</x:v>
      </x:c>
      <x:c r="F6" t="str">
        <x:v>Layer stack: corrected source states no primer and protective layer only when exposure requires it; older material sometimes presents protection as standard.</x:v>
      </x:c>
      <x:c r="G6" t="str">
        <x:v>Technical definition was corrected after earlier application concept.</x:v>
      </x:c>
      <x:c r="H6" t="str">
        <x:v>SRC-032</x:v>
      </x:c>
      <x:c r="I6" t="str">
        <x:v>OPEN</x:v>
      </x:c>
      <x:c r="J6" t="str">
        <x:v>Issue controlled standard system drawing / specification.</x:v>
      </x:c>
      <x:c r="K6" t="str">
        <x:v>HIGH: system graphic must be redrawn.</x:v>
      </x:c>
      <x:c r="L6" t="str">
        <x:v>Current interim wording: no primer; protection layer optional for moisture/outdoor/cleaning/mechanical load.</x:v>
      </x:c>
      <x:c r="M6" t="str">
        <x:v>TII technical owner</x:v>
      </x:c>
      <x:c r="N6"/>
      <x:c r="O6" t="str">
        <x:v>Coder must not copy old layer diagrams verbatim.</x:v>
      </x:c>
    </x:row>
    <x:row r="7">
      <x:c r="A7" t="str">
        <x:v>CNF-LH-003</x:v>
      </x:c>
      <x:c r="B7" t="str">
        <x:v>PF-LHEAT</x:v>
      </x:c>
      <x:c r="C7"/>
      <x:c r="D7" t="str">
        <x:v>SRC-010</x:v>
      </x:c>
      <x:c r="E7" t="str">
        <x:v>SRC-031</x:v>
      </x:c>
      <x:c r="F7" t="str">
        <x:v>Master Deck wording refers to a 'geprüftes System' while evidence sources state independent system tests and full external validation are still required.</x:v>
      </x:c>
      <x:c r="G7" t="str">
        <x:v>Strategic wording overstates current evidence status.</x:v>
      </x:c>
      <x:c r="H7" t="str">
        <x:v>SRC-031 + evidence governance</x:v>
      </x:c>
      <x:c r="I7" t="str">
        <x:v>OPEN</x:v>
      </x:c>
      <x:c r="J7" t="str">
        <x:v>Replace with 'defined system' / 'system approach' until external qualification exists.</x:v>
      </x:c>
      <x:c r="K7" t="str">
        <x:v>CRITICAL: avoid implying certified or independently tested complete system.</x:v>
      </x:c>
      <x:c r="L7" t="str">
        <x:v>Current interim wording: defined system architecture with internal prototype and field experience; external system validation is still in progress.</x:v>
      </x:c>
      <x:c r="M7" t="str">
        <x:v>TII communication / technical</x:v>
      </x:c>
      <x:c r="N7"/>
      <x:c r="O7" t="str">
        <x:v>This is a claim-governance conflict, not a material contradiction.</x:v>
      </x:c>
    </x:row>
  </x:sheetData>
  <x:mergeCells>
    <x:mergeCell ref="A1:O1"/>
    <x:mergeCell ref="A2:O2"/>
  </x:mergeCells>
  <x:dataValidations count="1">
    <x:dataValidation type="list" sqref="I5:I1000">
      <x:formula1>99_LISTS!$H$4:$H$7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0" hidden="0" customWidth="1"/>
    <x:col min="5" max="5" width="28" hidden="0" customWidth="1"/>
    <x:col min="6" max="6" width="34" hidden="0" customWidth="1"/>
    <x:col min="7" max="7" width="36" hidden="0" customWidth="1"/>
    <x:col min="8" max="8" width="28" hidden="0" customWidth="1"/>
    <x:col min="9" max="9" width="20" hidden="0" customWidth="1"/>
    <x:col min="10" max="10" width="18" hidden="0" customWidth="1"/>
    <x:col min="11" max="11" width="42" hidden="0" customWidth="1"/>
    <x:col min="12" max="12" width="38" hidden="0" customWidth="1"/>
    <x:col min="13" max="13" width="28" hidden="0" customWidth="1"/>
    <x:col min="14" max="14" width="14" hidden="0" customWidth="1"/>
    <x:col min="15" max="15" width="38" hidden="0" customWidth="1"/>
  </x:cols>
  <x:sheetData>
    <x:row r="1" ht="26" customHeight="1">
      <x:c r="A1" s="4" t="str">
        <x:v>08 · PAGE MAP</x:v>
      </x:c>
    </x:row>
    <x:row r="2" ht="42" customHeight="1">
      <x:c r="A2" s="11" t="str">
        <x:v>Informationsarchitektur: Platform → Product Family → Application System → Technical Documentation. Homepage bleibt bewusst verständlich; technische Tiefe liegt tiefer.</x:v>
      </x:c>
    </x:row>
    <x:row r="4" ht="34" customHeight="1">
      <x:c r="A4" s="20" t="str">
        <x:v>PAGE-ID</x:v>
      </x:c>
      <x:c r="B4" s="20" t="str">
        <x:v>LEVEL</x:v>
      </x:c>
      <x:c r="C4" s="20" t="str">
        <x:v>PRODUCT FAMILY ID</x:v>
      </x:c>
      <x:c r="D4" s="20" t="str">
        <x:v>SYSTEM / VARIANT ID</x:v>
      </x:c>
      <x:c r="E4" s="20" t="str">
        <x:v>PAGE / ROUTE</x:v>
      </x:c>
      <x:c r="F4" s="20" t="str">
        <x:v>PRIMARY QUESTION</x:v>
      </x:c>
      <x:c r="G4" s="20" t="str">
        <x:v>CORE PURPOSE</x:v>
      </x:c>
      <x:c r="H4" s="20" t="str">
        <x:v>PRIMARY AUDIENCE</x:v>
      </x:c>
      <x:c r="I4" s="20" t="str">
        <x:v>CONTENT STATUS</x:v>
      </x:c>
      <x:c r="J4" s="20" t="str">
        <x:v>TECHNICAL DEPTH</x:v>
      </x:c>
      <x:c r="K4" s="20" t="str">
        <x:v>REQUIRED CONTENT TYPES</x:v>
      </x:c>
      <x:c r="L4" s="20" t="str">
        <x:v>REQUIRED VISUALS</x:v>
      </x:c>
      <x:c r="M4" s="20" t="str">
        <x:v>CTA</x:v>
      </x:c>
      <x:c r="N4" s="20" t="str">
        <x:v>PRIORITY</x:v>
      </x:c>
      <x:c r="O4" s="20" t="str">
        <x:v>NOTES</x:v>
      </x:c>
    </x:row>
    <x:row r="5" ht="42" customHeight="1">
      <x:c r="A5" s="28" t="str">
        <x:v>PAGE-HOME</x:v>
      </x:c>
      <x:c r="B5" s="28" t="str">
        <x:v>PLATFORM</x:v>
      </x:c>
      <x:c r="C5" s="28" t="str">
        <x:v>PLATFORM-001</x:v>
      </x:c>
      <x:c r="D5" s="28" t="str"/>
      <x:c r="E5" s="28" t="str">
        <x:v>/</x:v>
      </x:c>
      <x:c r="F5" s="28" t="str">
        <x:v>What is PURE?</x:v>
      </x:c>
      <x:c r="G5" s="28" t="str">
        <x:v>Platform understanding</x:v>
      </x:c>
      <x:c r="H5" s="28" t="str">
        <x:v>All</x:v>
      </x:c>
      <x:c r="I5" s="28" t="str">
        <x:v>CONTENT READY</x:v>
      </x:c>
      <x:c r="J5" s="28" t="str">
        <x:v>LOW</x:v>
      </x:c>
      <x:c r="K5" s="28" t="str">
        <x:v>POSITIONING; TECHNOLOGY PRINCIPLE</x:v>
      </x:c>
      <x:c r="L5" s="28" t="str">
        <x:v>HERO IMAGE</x:v>
      </x:c>
      <x:c r="M5" s="28" t="str">
        <x:v>Explore technologies</x:v>
      </x:c>
      <x:c r="N5" s="28" t="str">
        <x:v>CRITICAL</x:v>
      </x:c>
      <x:c r="O5" s="28" t="str">
        <x:v>Homepage structure largely established.</x:v>
      </x:c>
    </x:row>
    <x:row r="6" ht="42" customHeight="1">
      <x:c r="A6" s="28" t="str">
        <x:v>SEC-HOME-WHY</x:v>
      </x:c>
      <x:c r="B6" s="28" t="str">
        <x:v>SECTION</x:v>
      </x:c>
      <x:c r="C6" s="28" t="str">
        <x:v>PLATFORM-001</x:v>
      </x:c>
      <x:c r="D6" s="28" t="str"/>
      <x:c r="E6" s="28" t="str">
        <x:v>/#why</x:v>
      </x:c>
      <x:c r="F6" s="28" t="str">
        <x:v>Why does it matter?</x:v>
      </x:c>
      <x:c r="G6" s="28" t="str">
        <x:v>Problem relevance</x:v>
      </x:c>
      <x:c r="H6" s="28" t="str">
        <x:v>All</x:v>
      </x:c>
      <x:c r="I6" s="28" t="str">
        <x:v>CONTENT READY</x:v>
      </x:c>
      <x:c r="J6" s="28" t="str">
        <x:v>LOW</x:v>
      </x:c>
      <x:c r="K6" s="28" t="str">
        <x:v>MARKET; PROBLEM</x:v>
      </x:c>
      <x:c r="L6" s="28" t="str">
        <x:v>ARCHITECTURE IMAGE</x:v>
      </x:c>
      <x:c r="M6" s="28" t="str"/>
      <x:c r="N6" s="28" t="str">
        <x:v>HIGH</x:v>
      </x:c>
      <x:c r="O6" s="28" t="str">
        <x:v>LIVE in 12.09.2026 production snapshot; final UI/visual QA remains.</x:v>
      </x:c>
    </x:row>
    <x:row r="7" ht="42" customHeight="1">
      <x:c r="A7" s="28" t="str">
        <x:v>SEC-HOME-HOW</x:v>
      </x:c>
      <x:c r="B7" s="28" t="str">
        <x:v>SECTION</x:v>
      </x:c>
      <x:c r="C7" s="28" t="str">
        <x:v>PLATFORM-001</x:v>
      </x:c>
      <x:c r="D7" s="28" t="str"/>
      <x:c r="E7" s="28" t="str">
        <x:v>/#how</x:v>
      </x:c>
      <x:c r="F7" s="28" t="str">
        <x:v>How does it work?</x:v>
      </x:c>
      <x:c r="G7" s="28" t="str">
        <x:v>Functional principle</x:v>
      </x:c>
      <x:c r="H7" s="28" t="str">
        <x:v>All</x:v>
      </x:c>
      <x:c r="I7" s="28" t="str">
        <x:v>CONTENT READY</x:v>
      </x:c>
      <x:c r="J7" s="28" t="str">
        <x:v>MEDIUM</x:v>
      </x:c>
      <x:c r="K7" s="28" t="str">
        <x:v>TECHNOLOGY PRINCIPLE; FUNCTION</x:v>
      </x:c>
      <x:c r="L7" s="28" t="str">
        <x:v>FUNCTIONAL EXPLANATION</x:v>
      </x:c>
      <x:c r="M7" s="28" t="str"/>
      <x:c r="N7" s="28" t="str">
        <x:v>HIGH</x:v>
      </x:c>
      <x:c r="O7" s="28" t="str">
        <x:v>LIVE in 12.09.2026 production snapshot; final UI/visual QA remains.</x:v>
      </x:c>
    </x:row>
    <x:row r="8" ht="42" customHeight="1">
      <x:c r="A8" s="28" t="str">
        <x:v>SEC-HOME-CAN</x:v>
      </x:c>
      <x:c r="B8" s="28" t="str">
        <x:v>SECTION</x:v>
      </x:c>
      <x:c r="C8" s="28" t="str">
        <x:v>PLATFORM-001</x:v>
      </x:c>
      <x:c r="D8" s="28" t="str"/>
      <x:c r="E8" s="28" t="str">
        <x:v>/#capabilities</x:v>
      </x:c>
      <x:c r="F8" s="28" t="str">
        <x:v>What can it do?</x:v>
      </x:c>
      <x:c r="G8" s="28" t="str">
        <x:v>Capabilities</x:v>
      </x:c>
      <x:c r="H8" s="28" t="str">
        <x:v>All</x:v>
      </x:c>
      <x:c r="I8" s="28" t="str">
        <x:v>CONTENT READY</x:v>
      </x:c>
      <x:c r="J8" s="28" t="str">
        <x:v>LOW</x:v>
      </x:c>
      <x:c r="K8" s="28" t="str">
        <x:v>PRODUCT BENEFIT; APPLICATION</x:v>
      </x:c>
      <x:c r="L8" s="28" t="str">
        <x:v>ABSTRACT TECHNOLOGY VISUAL</x:v>
      </x:c>
      <x:c r="M8" s="28" t="str"/>
      <x:c r="N8" s="28" t="str">
        <x:v>HIGH</x:v>
      </x:c>
      <x:c r="O8" s="28" t="str">
        <x:v>LIVE in 12.09.2026 production snapshot; final UI/visual QA remains.</x:v>
      </x:c>
    </x:row>
    <x:row r="9" ht="42" customHeight="1">
      <x:c r="A9" s="28" t="str">
        <x:v>SEC-HOME-USE</x:v>
      </x:c>
      <x:c r="B9" s="28" t="str">
        <x:v>SECTION</x:v>
      </x:c>
      <x:c r="C9" s="28" t="str">
        <x:v>PLATFORM-001</x:v>
      </x:c>
      <x:c r="D9" s="28" t="str"/>
      <x:c r="E9" s="28" t="str">
        <x:v>/#applications</x:v>
      </x:c>
      <x:c r="F9" s="28" t="str">
        <x:v>Where is it used?</x:v>
      </x:c>
      <x:c r="G9" s="28" t="str">
        <x:v>Application worlds</x:v>
      </x:c>
      <x:c r="H9" s="28" t="str">
        <x:v>All</x:v>
      </x:c>
      <x:c r="I9" s="28" t="str">
        <x:v>CONTENT READY</x:v>
      </x:c>
      <x:c r="J9" s="28" t="str">
        <x:v>LOW</x:v>
      </x:c>
      <x:c r="K9" s="28" t="str">
        <x:v>APPLICATION; USE CASE</x:v>
      </x:c>
      <x:c r="L9" s="28" t="str">
        <x:v>APPLICATION IMAGES</x:v>
      </x:c>
      <x:c r="M9" s="28" t="str"/>
      <x:c r="N9" s="28" t="str">
        <x:v>HIGH</x:v>
      </x:c>
      <x:c r="O9" s="28" t="str">
        <x:v>LIVE in 12.09.2026 production snapshot; final UI/visual QA remains.</x:v>
      </x:c>
    </x:row>
    <x:row r="10" ht="42" customHeight="1">
      <x:c r="A10" s="28" t="str">
        <x:v>SEC-HOME-PROOF</x:v>
      </x:c>
      <x:c r="B10" s="28" t="str">
        <x:v>SECTION</x:v>
      </x:c>
      <x:c r="C10" s="28" t="str">
        <x:v>PLATFORM-001</x:v>
      </x:c>
      <x:c r="D10" s="28" t="str"/>
      <x:c r="E10" s="28" t="str">
        <x:v>/#evidence</x:v>
      </x:c>
      <x:c r="F10" s="28" t="str">
        <x:v>What is proven?</x:v>
      </x:c>
      <x:c r="G10" s="28" t="str">
        <x:v>Evidence transparency</x:v>
      </x:c>
      <x:c r="H10" s="28" t="str">
        <x:v>All</x:v>
      </x:c>
      <x:c r="I10" s="28" t="str">
        <x:v>CONTENT READY</x:v>
      </x:c>
      <x:c r="J10" s="28" t="str">
        <x:v>MEDIUM</x:v>
      </x:c>
      <x:c r="K10" s="28" t="str">
        <x:v>EVIDENCE; TEST RESULT</x:v>
      </x:c>
      <x:c r="L10" s="28" t="str">
        <x:v>EVIDENCE MATRIX</x:v>
      </x:c>
      <x:c r="M10" s="28" t="str"/>
      <x:c r="N10" s="28" t="str">
        <x:v>CRITICAL</x:v>
      </x:c>
      <x:c r="O10" s="28" t="str"/>
    </x:row>
    <x:row r="11" ht="42" customHeight="1">
      <x:c r="A11" s="28" t="str">
        <x:v>SEC-HOME-WORK</x:v>
      </x:c>
      <x:c r="B11" s="28" t="str">
        <x:v>SECTION</x:v>
      </x:c>
      <x:c r="C11" s="28" t="str">
        <x:v>PLATFORM-001</x:v>
      </x:c>
      <x:c r="D11" s="28" t="str"/>
      <x:c r="E11" s="28" t="str">
        <x:v>/#work-with-pure</x:v>
      </x:c>
      <x:c r="F11" s="28" t="str">
        <x:v>How can I work with PURE?</x:v>
      </x:c>
      <x:c r="G11" s="28" t="str">
        <x:v>Partner entry</x:v>
      </x:c>
      <x:c r="H11" s="28" t="str">
        <x:v>Partners / customers</x:v>
      </x:c>
      <x:c r="I11" s="28" t="str">
        <x:v>CONTENT READY</x:v>
      </x:c>
      <x:c r="J11" s="28" t="str">
        <x:v>LOW</x:v>
      </x:c>
      <x:c r="K11" s="28" t="str">
        <x:v>PARTNER CONTENT</x:v>
      </x:c>
      <x:c r="L11" s="28" t="str">
        <x:v>PARTNER / PROCESS VISUAL</x:v>
      </x:c>
      <x:c r="M11" s="28" t="str">
        <x:v>Contact / partner inquiry</x:v>
      </x:c>
      <x:c r="N11" s="28" t="str">
        <x:v>MEDIUM</x:v>
      </x:c>
      <x:c r="O11" s="28" t="str">
        <x:v>LIVE in 12.09.2026 production snapshot; final UI/visual QA remains.</x:v>
      </x:c>
    </x:row>
    <x:row r="12" ht="42" customHeight="1">
      <x:c r="A12" s="28" t="str">
        <x:v>PAGE-PF-THERMO</x:v>
      </x:c>
      <x:c r="B12" s="28" t="str">
        <x:v>PRODUCT FAMILY</x:v>
      </x:c>
      <x:c r="C12" s="28" t="str">
        <x:v>PF-THERMO</x:v>
      </x:c>
      <x:c r="D12" s="28" t="str"/>
      <x:c r="E12" s="28" t="str">
        <x:v>/pure-thermo</x:v>
      </x:c>
      <x:c r="F12" s="28" t="str">
        <x:v>What is PURE THERMO?</x:v>
      </x:c>
      <x:c r="G12" s="28" t="str">
        <x:v>Family positioning + applications + evidence</x:v>
      </x:c>
      <x:c r="H12" s="28" t="str">
        <x:v>Customers / planners / partners</x:v>
      </x:c>
      <x:c r="I12" s="28" t="str">
        <x:v>CONTENT READY</x:v>
      </x:c>
      <x:c r="J12" s="28" t="str">
        <x:v>MEDIUM</x:v>
      </x:c>
      <x:c r="K12" s="28" t="str">
        <x:v>POSITIONING; TECHNOLOGY; APPLICATION; EVIDENCE; LIMITATION</x:v>
      </x:c>
      <x:c r="L12" s="28" t="str">
        <x:v>HERO + FUNCTIONAL / REAL APPLICATION</x:v>
      </x:c>
      <x:c r="M12" s="28" t="str">
        <x:v>Technical documentation / contact</x:v>
      </x:c>
      <x:c r="N12" s="28" t="str">
        <x:v>HIGH</x:v>
      </x:c>
      <x:c r="O12" s="28" t="str"/>
    </x:row>
    <x:row r="13" ht="42" customHeight="1">
      <x:c r="A13" s="28" t="str">
        <x:v>PAGE-PF-LHEAT</x:v>
      </x:c>
      <x:c r="B13" s="28" t="str">
        <x:v>PRODUCT FAMILY</x:v>
      </x:c>
      <x:c r="C13" s="28" t="str">
        <x:v>PF-LHEAT</x:v>
      </x:c>
      <x:c r="D13" s="28" t="str"/>
      <x:c r="E13" s="28" t="str">
        <x:v>/pure-liquid-heat</x:v>
      </x:c>
      <x:c r="F13" s="28" t="str">
        <x:v>What is PURE LIQUID HEAT?</x:v>
      </x:c>
      <x:c r="G13" s="28" t="str">
        <x:v>Family positioning + applications + evidence</x:v>
      </x:c>
      <x:c r="H13" s="28" t="str">
        <x:v>Customers / planners / partners</x:v>
      </x:c>
      <x:c r="I13" s="28" t="str">
        <x:v>CONTENT READY</x:v>
      </x:c>
      <x:c r="J13" s="28" t="str">
        <x:v>MEDIUM</x:v>
      </x:c>
      <x:c r="K13" s="28" t="str">
        <x:v>POSITIONING; TECHNOLOGY; APPLICATION; EVIDENCE; LIMITATION</x:v>
      </x:c>
      <x:c r="L13" s="28" t="str">
        <x:v>HERO + FUNCTIONAL / REAL APPLICATION</x:v>
      </x:c>
      <x:c r="M13" s="28" t="str">
        <x:v>Technical documentation / contact</x:v>
      </x:c>
      <x:c r="N13" s="28" t="str">
        <x:v>HIGH</x:v>
      </x:c>
      <x:c r="O13" s="28" t="str">
        <x:v>Liquid Heat dossier now also includes an internal 15/30-mm panel measurement series. Use B/C split: measured power/temperature B, derived W/m²/electrical metrics C. No generic family performance values until system mapping/external validation.</x:v>
      </x:c>
    </x:row>
    <x:row r="14" ht="42" customHeight="1">
      <x:c r="A14" s="28" t="str">
        <x:v>PAGE-PF-FIRE</x:v>
      </x:c>
      <x:c r="B14" s="28" t="str">
        <x:v>PRODUCT FAMILY</x:v>
      </x:c>
      <x:c r="C14" s="28" t="str">
        <x:v>PF-FIRE</x:v>
      </x:c>
      <x:c r="D14" s="28" t="str"/>
      <x:c r="E14" s="28" t="str">
        <x:v>/pure-fire-protect</x:v>
      </x:c>
      <x:c r="F14" s="28" t="str">
        <x:v>What is PURE FIRE PROTECT?</x:v>
      </x:c>
      <x:c r="G14" s="28" t="str">
        <x:v>Family positioning + applications + evidence</x:v>
      </x:c>
      <x:c r="H14" s="28" t="str">
        <x:v>Customers / planners / partners</x:v>
      </x:c>
      <x:c r="I14" s="28" t="str">
        <x:v>CONTENT READY</x:v>
      </x:c>
      <x:c r="J14" s="28" t="str">
        <x:v>MEDIUM</x:v>
      </x:c>
      <x:c r="K14" s="28" t="str">
        <x:v>POSITIONING; TECHNOLOGY; APPLICATION; EVIDENCE; LIMITATION</x:v>
      </x:c>
      <x:c r="L14" s="28" t="str">
        <x:v>HERO + FUNCTIONAL / REAL APPLICATION</x:v>
      </x:c>
      <x:c r="M14" s="28" t="str">
        <x:v>Technical documentation / contact</x:v>
      </x:c>
      <x:c r="N14" s="28" t="str">
        <x:v>HIGH</x:v>
      </x:c>
      <x:c r="O14" s="28" t="str">
        <x:v>LIVE in 12.09.2026 snapshot. Fire application routes and evidence boundaries implemented; system evidence remains configuration-specific.</x:v>
      </x:c>
    </x:row>
    <x:row r="15" ht="42" customHeight="1">
      <x:c r="A15" s="28" t="str">
        <x:v>PAGE-PF-SURFACE</x:v>
      </x:c>
      <x:c r="B15" s="28" t="str">
        <x:v>PRODUCT FAMILY</x:v>
      </x:c>
      <x:c r="C15" s="28" t="str">
        <x:v>PF-SURFACE</x:v>
      </x:c>
      <x:c r="D15" s="28" t="str"/>
      <x:c r="E15" s="28" t="str">
        <x:v>/pure-surface-protect</x:v>
      </x:c>
      <x:c r="F15" s="28" t="str">
        <x:v>What is PURE SURFACE PROTECT?</x:v>
      </x:c>
      <x:c r="G15" s="28" t="str">
        <x:v>Family positioning + applications + evidence</x:v>
      </x:c>
      <x:c r="H15" s="28" t="str">
        <x:v>Customers / planners / partners</x:v>
      </x:c>
      <x:c r="I15" s="28" t="str">
        <x:v>CONTENT READY</x:v>
      </x:c>
      <x:c r="J15" s="28" t="str">
        <x:v>MEDIUM</x:v>
      </x:c>
      <x:c r="K15" s="28" t="str">
        <x:v>POSITIONING; TECHNOLOGY; APPLICATION; EVIDENCE; LIMITATION</x:v>
      </x:c>
      <x:c r="L15" s="28" t="str">
        <x:v>HERO + FUNCTIONAL / REAL APPLICATION</x:v>
      </x:c>
      <x:c r="M15" s="28" t="str">
        <x:v>Technical documentation / contact</x:v>
      </x:c>
      <x:c r="N15" s="28" t="str">
        <x:v>HIGH</x:v>
      </x:c>
      <x:c r="O15" s="28" t="str">
        <x:v>LIVE in 12.09.2026 snapshot. LANUV/UAE reference wording remains B/qualified; original object evidence still governs stronger claims.</x:v>
      </x:c>
    </x:row>
    <x:row r="16" ht="42" customHeight="1">
      <x:c r="A16" s="28" t="str">
        <x:v>PAGE-PF-WATER</x:v>
      </x:c>
      <x:c r="B16" s="28" t="str">
        <x:v>PRODUCT FAMILY</x:v>
      </x:c>
      <x:c r="C16" s="28" t="str">
        <x:v>PF-WATER</x:v>
      </x:c>
      <x:c r="D16" s="28" t="str"/>
      <x:c r="E16" s="28" t="str">
        <x:v>/pure-water-protect</x:v>
      </x:c>
      <x:c r="F16" s="28" t="str">
        <x:v>What is PURE WATER PROTECT?</x:v>
      </x:c>
      <x:c r="G16" s="28" t="str">
        <x:v>Family positioning + applications + evidence</x:v>
      </x:c>
      <x:c r="H16" s="28" t="str">
        <x:v>Customers / planners / partners</x:v>
      </x:c>
      <x:c r="I16" s="28" t="str">
        <x:v>CONTENT READY</x:v>
      </x:c>
      <x:c r="J16" s="28" t="str">
        <x:v>MEDIUM</x:v>
      </x:c>
      <x:c r="K16" s="28" t="str">
        <x:v>POSITIONING; TECHNOLOGY; APPLICATION; EVIDENCE; LIMITATION</x:v>
      </x:c>
      <x:c r="L16" s="28" t="str">
        <x:v>HERO + FUNCTIONAL / REAL APPLICATION</x:v>
      </x:c>
      <x:c r="M16" s="28" t="str">
        <x:v>Technical documentation / contact</x:v>
      </x:c>
      <x:c r="N16" s="28" t="str">
        <x:v>HIGH</x:v>
      </x:c>
      <x:c r="O16" s="28" t="str">
        <x:v>LIVE in 12.09.2026 snapshot. Easy-to-clean/marine positioning implemented; Hydrotox/DSLT remains B until originals + formulation mapping controlled.</x:v>
      </x:c>
    </x:row>
    <x:row r="17" ht="42" customHeight="1">
      <x:c r="A17" s="28" t="str">
        <x:v>PAGE-PF-WOOD</x:v>
      </x:c>
      <x:c r="B17" s="28" t="str">
        <x:v>PRODUCT FAMILY</x:v>
      </x:c>
      <x:c r="C17" s="28" t="str">
        <x:v>PF-WOOD</x:v>
      </x:c>
      <x:c r="D17" s="28" t="str"/>
      <x:c r="E17" s="28" t="str">
        <x:v>/pure-wood-protect</x:v>
      </x:c>
      <x:c r="F17" s="28" t="str">
        <x:v>What is PURE WOOD PROTECT?</x:v>
      </x:c>
      <x:c r="G17" s="28" t="str">
        <x:v>Family positioning + applications + evidence</x:v>
      </x:c>
      <x:c r="H17" s="28" t="str">
        <x:v>Customers / planners / partners</x:v>
      </x:c>
      <x:c r="I17" s="28" t="str">
        <x:v>CONTENT READY</x:v>
      </x:c>
      <x:c r="J17" s="28" t="str">
        <x:v>MEDIUM</x:v>
      </x:c>
      <x:c r="K17" s="28" t="str">
        <x:v>POSITIONING; TECHNOLOGY; APPLICATION; EVIDENCE; LIMITATION</x:v>
      </x:c>
      <x:c r="L17" s="28" t="str">
        <x:v>HERO + FUNCTIONAL / REAL APPLICATION</x:v>
      </x:c>
      <x:c r="M17" s="28" t="str">
        <x:v>Technical documentation / contact</x:v>
      </x:c>
      <x:c r="N17" s="28" t="str">
        <x:v>HIGH</x:v>
      </x:c>
      <x:c r="O17" s="28" t="str">
        <x:v>LIVE in 12.09.2026 snapshot. Six differentiated wood application worlds available; object-/wood-species validation remains explicit.</x:v>
      </x:c>
    </x:row>
    <x:row r="18" ht="42" customHeight="1">
      <x:c r="A18" s="28" t="str">
        <x:v>PAGE-PF-BOAT</x:v>
      </x:c>
      <x:c r="B18" s="28" t="str">
        <x:v>PRODUCT FAMILY</x:v>
      </x:c>
      <x:c r="C18" s="28" t="str">
        <x:v>PF-BOAT</x:v>
      </x:c>
      <x:c r="D18" s="28" t="str"/>
      <x:c r="E18" s="28" t="str">
        <x:v>/pure-boat-protect</x:v>
      </x:c>
      <x:c r="F18" s="28" t="str">
        <x:v>What is PURE BOAT PROTECT?</x:v>
      </x:c>
      <x:c r="G18" s="28" t="str">
        <x:v>Family positioning + applications + evidence</x:v>
      </x:c>
      <x:c r="H18" s="28" t="str">
        <x:v>Customers / planners / partners</x:v>
      </x:c>
      <x:c r="I18" s="28" t="str">
        <x:v>CONTENT READY</x:v>
      </x:c>
      <x:c r="J18" s="28" t="str">
        <x:v>MEDIUM</x:v>
      </x:c>
      <x:c r="K18" s="28" t="str">
        <x:v>POSITIONING; TECHNOLOGY; APPLICATION; EVIDENCE; LIMITATION</x:v>
      </x:c>
      <x:c r="L18" s="28" t="str">
        <x:v>HERO + FUNCTIONAL / REAL APPLICATION</x:v>
      </x:c>
      <x:c r="M18" s="28" t="str">
        <x:v>Technical documentation / contact</x:v>
      </x:c>
      <x:c r="N18" s="28" t="str">
        <x:v>HIGH</x:v>
      </x:c>
      <x:c r="O18" s="28" t="str">
        <x:v>LIVE in 12.09.2026 snapshot. Yacht-zone visual system implemented; material compatibility remains application-specific.</x:v>
      </x:c>
    </x:row>
    <x:row r="19" ht="42" customHeight="1">
      <x:c r="A19" s="28" t="str">
        <x:v>PAGE-PF-FLOOR</x:v>
      </x:c>
      <x:c r="B19" s="28" t="str">
        <x:v>PRODUCT FAMILY</x:v>
      </x:c>
      <x:c r="C19" s="28" t="str">
        <x:v>PF-FLOOR</x:v>
      </x:c>
      <x:c r="D19" s="28" t="str"/>
      <x:c r="E19" s="28" t="str">
        <x:v>/pure-floor-protect</x:v>
      </x:c>
      <x:c r="F19" s="28" t="str">
        <x:v>What is PURE FLOOR PROTECT?</x:v>
      </x:c>
      <x:c r="G19" s="28" t="str">
        <x:v>Family positioning + applications + evidence</x:v>
      </x:c>
      <x:c r="H19" s="28" t="str">
        <x:v>Customers / planners / partners</x:v>
      </x:c>
      <x:c r="I19" s="28" t="str">
        <x:v>CONTENT READY</x:v>
      </x:c>
      <x:c r="J19" s="28" t="str">
        <x:v>MEDIUM</x:v>
      </x:c>
      <x:c r="K19" s="28" t="str">
        <x:v>POSITIONING; TECHNOLOGY; APPLICATION; EVIDENCE; LIMITATION</x:v>
      </x:c>
      <x:c r="L19" s="28" t="str">
        <x:v>HERO + FUNCTIONAL / REAL APPLICATION</x:v>
      </x:c>
      <x:c r="M19" s="28" t="str">
        <x:v>Technical documentation / contact</x:v>
      </x:c>
      <x:c r="N19" s="28" t="str">
        <x:v>HIGH</x:v>
      </x:c>
      <x:c r="O19" s="28" t="str">
        <x:v>LIVE in 12.09.2026 snapshot with qualified evidence language. Original iTLC/DIBt evidence still required before any A/regulatory escalation.</x:v>
      </x:c>
    </x:row>
    <x:row r="20" ht="42" customHeight="1">
      <x:c r="A20" s="28" t="str">
        <x:v>PAGE-PF-T730</x:v>
      </x:c>
      <x:c r="B20" s="28" t="str">
        <x:v>PRODUCT FAMILY</x:v>
      </x:c>
      <x:c r="C20" s="28" t="str">
        <x:v>PF-T730</x:v>
      </x:c>
      <x:c r="D20" s="28" t="str"/>
      <x:c r="E20" s="28" t="str">
        <x:v>/pure-protect-t730</x:v>
      </x:c>
      <x:c r="F20" s="28" t="str">
        <x:v>What is PURE PROTECT T730?</x:v>
      </x:c>
      <x:c r="G20" s="28" t="str">
        <x:v>Family positioning + applications + evidence</x:v>
      </x:c>
      <x:c r="H20" s="28" t="str">
        <x:v>Customers / planners / partners</x:v>
      </x:c>
      <x:c r="I20" s="28" t="str">
        <x:v>HOLD</x:v>
      </x:c>
      <x:c r="J20" s="28" t="str">
        <x:v>MEDIUM</x:v>
      </x:c>
      <x:c r="K20" s="28" t="str">
        <x:v>POSITIONING; TECHNOLOGY; APPLICATION; EVIDENCE; LIMITATION</x:v>
      </x:c>
      <x:c r="L20" s="28" t="str">
        <x:v>HERO + FUNCTIONAL / REAL APPLICATION</x:v>
      </x:c>
      <x:c r="M20" s="28" t="str">
        <x:v>Technical documentation / contact</x:v>
      </x:c>
      <x:c r="N20" s="28" t="str">
        <x:v>HIGH</x:v>
      </x:c>
      <x:c r="O20" s="28" t="str">
        <x:v>Public Level-2 classification intentionally pending.</x:v>
      </x:c>
    </x:row>
    <x:row r="21">
      <x:c r="A21" s="57" t="str">
        <x:v>SEC-LH-HERO</x:v>
      </x:c>
      <x:c r="B21" s="57" t="str">
        <x:v>SECTION</x:v>
      </x:c>
      <x:c r="C21" s="57" t="str">
        <x:v>PF-LHEAT</x:v>
      </x:c>
      <x:c r="D21" s="57"/>
      <x:c r="E21" s="57" t="str">
        <x:v>/pure-liquid-heat#hero</x:v>
      </x:c>
      <x:c r="F21" s="57" t="str">
        <x:v>What is PURE LIQUID HEAT?</x:v>
      </x:c>
      <x:c r="G21" s="57" t="str">
        <x:v>Immediate product-family positioning</x:v>
      </x:c>
      <x:c r="H21" s="57" t="str">
        <x:v>All</x:v>
      </x:c>
      <x:c r="I21" s="57" t="str">
        <x:v>CONTENT READY</x:v>
      </x:c>
      <x:c r="J21" s="57" t="str">
        <x:v>LOW</x:v>
      </x:c>
      <x:c r="K21" s="57" t="str">
        <x:v>POSITIONING; PRODUCT BENEFIT</x:v>
      </x:c>
      <x:c r="L21" s="57" t="str">
        <x:v>HERO IMAGE</x:v>
      </x:c>
      <x:c r="M21" s="57" t="str">
        <x:v>Explore applications / technical evidence</x:v>
      </x:c>
      <x:c r="N21" s="57" t="str">
        <x:v>CRITICAL</x:v>
      </x:c>
      <x:c r="O21" s="57" t="str">
        <x:v>Use functional-layer positioning; no generic performance numbers.</x:v>
      </x:c>
    </x:row>
    <x:row r="22">
      <x:c r="A22" s="57" t="str">
        <x:v>SEC-LH-WHY</x:v>
      </x:c>
      <x:c r="B22" s="57" t="str">
        <x:v>SECTION</x:v>
      </x:c>
      <x:c r="C22" s="57" t="str">
        <x:v>PF-LHEAT</x:v>
      </x:c>
      <x:c r="D22" s="57"/>
      <x:c r="E22" s="57" t="str">
        <x:v>/pure-liquid-heat#why</x:v>
      </x:c>
      <x:c r="F22" s="57" t="str">
        <x:v>Why integrated surface heat?</x:v>
      </x:c>
      <x:c r="G22" s="57" t="str">
        <x:v>Problem and differentiation</x:v>
      </x:c>
      <x:c r="H22" s="57" t="str">
        <x:v>All</x:v>
      </x:c>
      <x:c r="I22" s="57" t="str">
        <x:v>CONTENT READY</x:v>
      </x:c>
      <x:c r="J22" s="57" t="str">
        <x:v>LOW</x:v>
      </x:c>
      <x:c r="K22" s="57" t="str">
        <x:v>MARKET; PRODUCT BENEFIT</x:v>
      </x:c>
      <x:c r="L22" s="57" t="str">
        <x:v>APPLICATION / HERO VISUAL</x:v>
      </x:c>
      <x:c r="M22" s="57"/>
      <x:c r="N22" s="57" t="str">
        <x:v>HIGH</x:v>
      </x:c>
      <x:c r="O22" s="57" t="str">
        <x:v>Focus on integration, zoning and design; no savings claims.</x:v>
      </x:c>
    </x:row>
    <x:row r="23">
      <x:c r="A23" s="57" t="str">
        <x:v>SEC-LH-HOW</x:v>
      </x:c>
      <x:c r="B23" s="57" t="str">
        <x:v>SECTION</x:v>
      </x:c>
      <x:c r="C23" s="57" t="str">
        <x:v>PF-LHEAT</x:v>
      </x:c>
      <x:c r="D23" s="57"/>
      <x:c r="E23" s="57" t="str">
        <x:v>/pure-liquid-heat#how</x:v>
      </x:c>
      <x:c r="F23" s="57" t="str">
        <x:v>How does it work?</x:v>
      </x:c>
      <x:c r="G23" s="57" t="str">
        <x:v>Explain resistance heating and control</x:v>
      </x:c>
      <x:c r="H23" s="57" t="str">
        <x:v>Technical + general</x:v>
      </x:c>
      <x:c r="I23" s="57" t="str">
        <x:v>CONTENT READY</x:v>
      </x:c>
      <x:c r="J23" s="57" t="str">
        <x:v>MEDIUM</x:v>
      </x:c>
      <x:c r="K23" s="57" t="str">
        <x:v>TECHNOLOGY PRINCIPLE; SYSTEM BUILD-UP</x:v>
      </x:c>
      <x:c r="L23" s="57" t="str">
        <x:v>FUNCTIONAL EXPLANATION; SYSTEM CROSS-SECTION</x:v>
      </x:c>
      <x:c r="M23" s="57"/>
      <x:c r="N23" s="57" t="str">
        <x:v>CRITICAL</x:v>
      </x:c>
      <x:c r="O23" s="57" t="str">
        <x:v>Corrected substrate scope controls graphic.</x:v>
      </x:c>
    </x:row>
    <x:row r="24">
      <x:c r="A24" s="57" t="str">
        <x:v>SEC-LH-APP</x:v>
      </x:c>
      <x:c r="B24" s="57" t="str">
        <x:v>SECTION</x:v>
      </x:c>
      <x:c r="C24" s="57" t="str">
        <x:v>PF-LHEAT</x:v>
      </x:c>
      <x:c r="D24" s="57"/>
      <x:c r="E24" s="57" t="str">
        <x:v>/pure-liquid-heat#applications</x:v>
      </x:c>
      <x:c r="F24" s="57" t="str">
        <x:v>Where can it be integrated?</x:v>
      </x:c>
      <x:c r="G24" s="57" t="str">
        <x:v>Show application worlds</x:v>
      </x:c>
      <x:c r="H24" s="57" t="str">
        <x:v>Customers / OEM</x:v>
      </x:c>
      <x:c r="I24" s="57" t="str">
        <x:v>CONTENT READY</x:v>
      </x:c>
      <x:c r="J24" s="57" t="str">
        <x:v>LOW</x:v>
      </x:c>
      <x:c r="K24" s="57" t="str">
        <x:v>APPLICATION; USE CASE</x:v>
      </x:c>
      <x:c r="L24" s="57" t="str">
        <x:v>APPLICATION IMAGES</x:v>
      </x:c>
      <x:c r="M24" s="57" t="str">
        <x:v>Discuss a pilot</x:v>
      </x:c>
      <x:c r="N24" s="57" t="str">
        <x:v>HIGH</x:v>
      </x:c>
      <x:c r="O24" s="57" t="str">
        <x:v>Outdoor/Hospitality, Interior/Design, OEM, Frost/Technical. Bench/HeatBase only as concepts.</x:v>
      </x:c>
    </x:row>
    <x:row r="25">
      <x:c r="A25" s="57" t="str">
        <x:v>SEC-LH-PROOF</x:v>
      </x:c>
      <x:c r="B25" s="57" t="str">
        <x:v>SECTION</x:v>
      </x:c>
      <x:c r="C25" s="57" t="str">
        <x:v>PF-LHEAT</x:v>
      </x:c>
      <x:c r="D25" s="57"/>
      <x:c r="E25" s="57" t="str">
        <x:v>/pure-liquid-heat#evidence</x:v>
      </x:c>
      <x:c r="F25" s="57" t="str">
        <x:v>What is already documented?</x:v>
      </x:c>
      <x:c r="G25" s="57" t="str">
        <x:v>Evidence transparency</x:v>
      </x:c>
      <x:c r="H25" s="57" t="str">
        <x:v>Technical / partners</x:v>
      </x:c>
      <x:c r="I25" s="57" t="str">
        <x:v>CONTENT READY</x:v>
      </x:c>
      <x:c r="J25" s="57" t="str">
        <x:v>MEDIUM</x:v>
      </x:c>
      <x:c r="K25" s="57" t="str">
        <x:v>REFERENCE; EVIDENCE; LIMITATION</x:v>
      </x:c>
      <x:c r="L25" s="57" t="str">
        <x:v>EVIDENCE / PROCESS DIAGRAM</x:v>
      </x:c>
      <x:c r="M25" s="57" t="str">
        <x:v>View validation path</x:v>
      </x:c>
      <x:c r="N25" s="57" t="str">
        <x:v>CRITICAL</x:v>
      </x:c>
      <x:c r="O25" s="57" t="str">
        <x:v>Show Portugal 24/7 reference as internal B evidence, not certification.</x:v>
      </x:c>
    </x:row>
    <x:row r="26">
      <x:c r="A26" s="57" t="str">
        <x:v>SEC-LH-SAFE</x:v>
      </x:c>
      <x:c r="B26" s="57" t="str">
        <x:v>SECTION</x:v>
      </x:c>
      <x:c r="C26" s="57" t="str">
        <x:v>PF-LHEAT</x:v>
      </x:c>
      <x:c r="D26" s="57"/>
      <x:c r="E26" s="57" t="str">
        <x:v>/pure-liquid-heat#safety</x:v>
      </x:c>
      <x:c r="F26" s="57" t="str">
        <x:v>What still has to be validated?</x:v>
      </x:c>
      <x:c r="G26" s="57" t="str">
        <x:v>Safety, regulatory and claim boundaries</x:v>
      </x:c>
      <x:c r="H26" s="57" t="str">
        <x:v>OEM / technical</x:v>
      </x:c>
      <x:c r="I26" s="57" t="str">
        <x:v>CONTENT READY</x:v>
      </x:c>
      <x:c r="J26" s="57" t="str">
        <x:v>MEDIUM</x:v>
      </x:c>
      <x:c r="K26" s="57" t="str">
        <x:v>REGULATORY; QUALITY ASSURANCE; LIMITATION</x:v>
      </x:c>
      <x:c r="L26" s="57" t="str">
        <x:v>PROCESS DIAGRAM</x:v>
      </x:c>
      <x:c r="M26" s="57" t="str">
        <x:v>Technical collaboration</x:v>
      </x:c>
      <x:c r="N26" s="57" t="str">
        <x:v>CRITICAL</x:v>
      </x:c>
      <x:c r="O26" s="57" t="str">
        <x:v>No generic CE/IP/EMV/brand claim.</x:v>
      </x:c>
    </x:row>
    <x:row r="27">
      <x:c r="A27" s="57" t="str">
        <x:v>SEC-LH-WORK</x:v>
      </x:c>
      <x:c r="B27" s="57" t="str">
        <x:v>SECTION</x:v>
      </x:c>
      <x:c r="C27" s="57" t="str">
        <x:v>PF-LHEAT</x:v>
      </x:c>
      <x:c r="D27" s="57"/>
      <x:c r="E27" s="57" t="str">
        <x:v>/pure-liquid-heat#work-with-pure</x:v>
      </x:c>
      <x:c r="F27" s="57" t="str">
        <x:v>How can partners work with PURE?</x:v>
      </x:c>
      <x:c r="G27" s="57" t="str">
        <x:v>Pilot and OEM entry</x:v>
      </x:c>
      <x:c r="H27" s="57" t="str">
        <x:v>Partners / OEM</x:v>
      </x:c>
      <x:c r="I27" s="57" t="str">
        <x:v>CONTENT READY</x:v>
      </x:c>
      <x:c r="J27" s="57" t="str">
        <x:v>LOW</x:v>
      </x:c>
      <x:c r="K27" s="57" t="str">
        <x:v>PARTNER CONTENT</x:v>
      </x:c>
      <x:c r="L27" s="57" t="str">
        <x:v>PARTNER / PROCESS VISUAL</x:v>
      </x:c>
      <x:c r="M27" s="57" t="str">
        <x:v>Start a pilot / OEM project</x:v>
      </x:c>
      <x:c r="N27" s="57" t="str">
        <x:v>HIGH</x:v>
      </x:c>
      <x:c r="O27" s="57" t="str">
        <x:v>Invite pilot, OEM and testing partners; do not imply serial availability.</x:v>
      </x:c>
    </x:row>
    <x:row r="28">
      <x:c r="A28" s="57" t="str">
        <x:v>PAGE-SYS-PT-INT</x:v>
      </x:c>
      <x:c r="B28" s="57" t="str">
        <x:v>APPLICATION SYSTEM</x:v>
      </x:c>
      <x:c r="C28" s="57" t="str">
        <x:v>PF-THERMO</x:v>
      </x:c>
      <x:c r="D28" s="57" t="str">
        <x:v>SYS-PT-INT</x:v>
      </x:c>
      <x:c r="E28" s="57" t="str">
        <x:v>/systeme/pure-thermo-interior</x:v>
      </x:c>
      <x:c r="F28" s="57" t="str">
        <x:v>How is PURE THERMO used on interior / existing surfaces?</x:v>
      </x:c>
      <x:c r="G28" s="57" t="str">
        <x:v>Defined interior development route</x:v>
      </x:c>
      <x:c r="H28" s="57" t="str">
        <x:v>Planners / technical partners</x:v>
      </x:c>
      <x:c r="I28" s="57" t="str">
        <x:v>CONTENT READY</x:v>
      </x:c>
      <x:c r="J28" s="57" t="str">
        <x:v>HIGH</x:v>
      </x:c>
      <x:c r="K28" s="57" t="str">
        <x:v>SYSTEM DEFINITION; APPLICATION; LIMITATION</x:v>
      </x:c>
      <x:c r="L28" s="57" t="str">
        <x:v>SYSTEM BUILD-UP + APPLICATION IMAGES</x:v>
      </x:c>
      <x:c r="M28" s="57" t="str">
        <x:v>Project review</x:v>
      </x:c>
      <x:c r="N28" s="57" t="str">
        <x:v>HIGH</x:v>
      </x:c>
      <x:c r="O28" s="57" t="str">
        <x:v>LIVE in 12.09.2026 snapshot; system definition / test program, not completed building approval.</x:v>
      </x:c>
    </x:row>
    <x:row r="29">
      <x:c r="A29" s="57" t="str">
        <x:v>PAGE-SYS-PT-EXT</x:v>
      </x:c>
      <x:c r="B29" s="57" t="str">
        <x:v>APPLICATION SYSTEM</x:v>
      </x:c>
      <x:c r="C29" s="57" t="str">
        <x:v>PF-THERMO</x:v>
      </x:c>
      <x:c r="D29" s="57" t="str">
        <x:v>SYS-PT-EXT</x:v>
      </x:c>
      <x:c r="E29" s="57" t="str">
        <x:v>/systeme/pure-thermo-exterior</x:v>
      </x:c>
      <x:c r="F29" s="57" t="str">
        <x:v>How is PURE THERMO used on façades and exterior stock?</x:v>
      </x:c>
      <x:c r="G29" s="57" t="str">
        <x:v>Defined exterior development route</x:v>
      </x:c>
      <x:c r="H29" s="57" t="str">
        <x:v>Planners / technical partners</x:v>
      </x:c>
      <x:c r="I29" s="57" t="str">
        <x:v>CONTENT READY</x:v>
      </x:c>
      <x:c r="J29" s="57" t="str">
        <x:v>HIGH</x:v>
      </x:c>
      <x:c r="K29" s="57" t="str">
        <x:v>SYSTEM DEFINITION; APPLICATION; LIMITATION</x:v>
      </x:c>
      <x:c r="L29" s="57" t="str">
        <x:v>SYSTEM BUILD-UP + APPLICATION IMAGES</x:v>
      </x:c>
      <x:c r="M29" s="57" t="str">
        <x:v>Project review</x:v>
      </x:c>
      <x:c r="N29" s="57" t="str">
        <x:v>HIGH</x:v>
      </x:c>
      <x:c r="O29" s="57" t="str">
        <x:v>LIVE verified against current Vercel push 12.09.2026. Weathering, water uptake, UV, freeze-thaw and adhesion remain system-specific validations.</x:v>
      </x:c>
    </x:row>
    <x:row r="30">
      <x:c r="A30" s="57" t="str">
        <x:v>PAGE-SYS-PT-DET</x:v>
      </x:c>
      <x:c r="B30" s="57" t="str">
        <x:v>APPLICATION SYSTEM</x:v>
      </x:c>
      <x:c r="C30" s="57" t="str">
        <x:v>PF-THERMO</x:v>
      </x:c>
      <x:c r="D30" s="57" t="str">
        <x:v>SYS-PT-DET</x:v>
      </x:c>
      <x:c r="E30" s="57" t="str">
        <x:v>/systeme/pure-thermo-detail</x:v>
      </x:c>
      <x:c r="F30" s="57" t="str">
        <x:v>How is PURE THERMO used in geometrically difficult details?</x:v>
      </x:c>
      <x:c r="G30" s="57" t="str">
        <x:v>Defined detail route</x:v>
      </x:c>
      <x:c r="H30" s="57" t="str">
        <x:v>Planners / technical partners</x:v>
      </x:c>
      <x:c r="I30" s="57" t="str">
        <x:v>CONTENT READY</x:v>
      </x:c>
      <x:c r="J30" s="57" t="str">
        <x:v>HIGH</x:v>
      </x:c>
      <x:c r="K30" s="57" t="str">
        <x:v>SYSTEM DEFINITION; DETAIL APPLICATION; LIMITATION</x:v>
      </x:c>
      <x:c r="L30" s="57" t="str">
        <x:v>DETAIL APPLICATION IMAGES</x:v>
      </x:c>
      <x:c r="M30" s="57" t="str">
        <x:v>Project review</x:v>
      </x:c>
      <x:c r="N30" s="57" t="str">
        <x:v>HIGH</x:v>
      </x:c>
      <x:c r="O30" s="57" t="str">
        <x:v>LIVE in 12.09.2026 snapshot. Dedicated niche and lintel visuals added to reduce generic repeated crops.</x:v>
      </x:c>
    </x:row>
    <x:row r="31">
      <x:c r="A31" s="57" t="str">
        <x:v>PAGE-SYS-PT-FIRE</x:v>
      </x:c>
      <x:c r="B31" s="57" t="str">
        <x:v>APPLICATION SYSTEM</x:v>
      </x:c>
      <x:c r="C31" s="57" t="str">
        <x:v>PF-THERMO</x:v>
      </x:c>
      <x:c r="D31" s="57" t="str">
        <x:v>SYS-PT-FIRE</x:v>
      </x:c>
      <x:c r="E31" s="57" t="str">
        <x:v>/systeme/pure-thermo-fire</x:v>
      </x:c>
      <x:c r="F31" s="57" t="str">
        <x:v>How is PURE THERMO combined with a fire-protection route?</x:v>
      </x:c>
      <x:c r="G31" s="57" t="str">
        <x:v>Combined development / validation route</x:v>
      </x:c>
      <x:c r="H31" s="57" t="str">
        <x:v>Planners / testing partners</x:v>
      </x:c>
      <x:c r="I31" s="57" t="str">
        <x:v>CONTENT READY</x:v>
      </x:c>
      <x:c r="J31" s="57" t="str">
        <x:v>HIGH</x:v>
      </x:c>
      <x:c r="K31" s="57" t="str">
        <x:v>SYSTEM DEFINITION; FIRE EVIDENCE; LIMITATION</x:v>
      </x:c>
      <x:c r="L31" s="57" t="str">
        <x:v>SYSTEM BUILD-UP + EVIDENCE</x:v>
      </x:c>
      <x:c r="M31" s="57" t="str">
        <x:v>Technical validation</x:v>
      </x:c>
      <x:c r="N31" s="57" t="str">
        <x:v>CRITICAL</x:v>
      </x:c>
      <x:c r="O31" s="57" t="str">
        <x:v>Combined route remains D until full tested assembly/classification exists.</x:v>
      </x:c>
    </x:row>
    <x:row r="32">
      <x:c r="A32" s="57" t="str">
        <x:v>PAGE-EVIDENCE</x:v>
      </x:c>
      <x:c r="B32" s="57" t="str">
        <x:v>TECHNICAL DOCUMENTATION</x:v>
      </x:c>
      <x:c r="C32" s="57" t="str">
        <x:v>PLATFORM-001</x:v>
      </x:c>
      <x:c r="D32" s="57"/>
      <x:c r="E32" s="57" t="str">
        <x:v>/nachweise</x:v>
      </x:c>
      <x:c r="F32" s="57" t="str">
        <x:v>What is tested, documented, calculated or still under development?</x:v>
      </x:c>
      <x:c r="G32" s="57" t="str">
        <x:v>Central evidence transparency</x:v>
      </x:c>
      <x:c r="H32" s="57" t="str">
        <x:v>All / technical</x:v>
      </x:c>
      <x:c r="I32" s="57" t="str">
        <x:v>CONTENT READY</x:v>
      </x:c>
      <x:c r="J32" s="57" t="str">
        <x:v>HIGH</x:v>
      </x:c>
      <x:c r="K32" s="57" t="str">
        <x:v>EVIDENCE; TEST RESULT; MODEL; LIMITATION</x:v>
      </x:c>
      <x:c r="L32" s="57" t="str">
        <x:v>EVIDENCE MATRIX / TEST DATA</x:v>
      </x:c>
      <x:c r="M32" s="57" t="str">
        <x:v>Review evidence</x:v>
      </x:c>
      <x:c r="N32" s="57" t="str">
        <x:v>CRITICAL</x:v>
      </x:c>
      <x:c r="O32" s="57" t="str">
        <x:v>LIVE in 12.09.2026 snapshot. Anchor/highlight UX requires final QA; evidence levels must remain claim-specific.</x:v>
      </x:c>
    </x:row>
  </x:sheetData>
  <x:mergeCells>
    <x:mergeCell ref="A1:O1"/>
    <x:mergeCell ref="A2:O2"/>
  </x:mergeCells>
  <x:dataValidations count="2">
    <x:dataValidation type="list" sqref="I5:I1000">
      <x:formula1>99_LISTS!$J$4:$J$9</x:formula1>
    </x:dataValidation>
    <x:dataValidation type="list" sqref="N5:N1000">
      <x:formula1>99_LISTS!$B$4:$B$7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8ba79251b0c4b51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20" hidden="0" customWidth="1"/>
    <x:col min="4" max="4" width="52" hidden="0" customWidth="1"/>
    <x:col min="5" max="5" width="20" hidden="0" customWidth="1"/>
    <x:col min="6" max="6" width="42" hidden="0" customWidth="1"/>
    <x:col min="7" max="7" width="46" hidden="0" customWidth="1"/>
    <x:col min="8" max="8" width="1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38" hidden="0" customWidth="1"/>
  </x:cols>
  <x:sheetData>
    <x:row r="1" ht="26" customHeight="1">
      <x:c r="A1" s="4" t="str">
        <x:v>09 · OPEN QUESTIONS</x:v>
      </x:c>
    </x:row>
    <x:row r="2" ht="42" customHeight="1">
      <x:c r="A2" s="11" t="str">
        <x:v>Steuert fehlende Dokumente, Prüfungen, Portfolioentscheidungen und Freigaben. Priorisierung erfolgt nach Erkenntnisgewinn für die Website.</x:v>
      </x:c>
    </x:row>
    <x:row r="4" ht="34" customHeight="1">
      <x:c r="A4" s="20" t="str">
        <x:v>OPEN-ID</x:v>
      </x:c>
      <x:c r="B4" s="20" t="str">
        <x:v>PRODUCT FAMILY ID</x:v>
      </x:c>
      <x:c r="C4" s="20" t="str">
        <x:v>SYSTEM / VARIANT ID</x:v>
      </x:c>
      <x:c r="D4" s="20" t="str">
        <x:v>QUESTION / GAP</x:v>
      </x:c>
      <x:c r="E4" s="20" t="str">
        <x:v>CATEGORY</x:v>
      </x:c>
      <x:c r="F4" s="20" t="str">
        <x:v>WHY IT MATTERS</x:v>
      </x:c>
      <x:c r="G4" s="20" t="str">
        <x:v>REQUIRED SOURCE / ACTION</x:v>
      </x:c>
      <x:c r="H4" s="20" t="str">
        <x:v>PRIORITY</x:v>
      </x:c>
      <x:c r="I4" s="20" t="str">
        <x:v>OWNER</x:v>
      </x:c>
      <x:c r="J4" s="20" t="str">
        <x:v>STATUS</x:v>
      </x:c>
      <x:c r="K4" s="20" t="str">
        <x:v>RELATED CONTENT-ID</x:v>
      </x:c>
      <x:c r="L4" s="20" t="str">
        <x:v>RELATED CLAIM-ID</x:v>
      </x:c>
      <x:c r="M4" s="20" t="str">
        <x:v>RELATED SOURCE-ID</x:v>
      </x:c>
      <x:c r="N4" s="20" t="str">
        <x:v>NOTES</x:v>
      </x:c>
    </x:row>
    <x:row r="5" ht="42" customHeight="1">
      <x:c r="A5" s="28" t="str">
        <x:v>OPEN-001</x:v>
      </x:c>
      <x:c r="B5" s="28" t="str">
        <x:v>PF-FLOOR</x:v>
      </x:c>
      <x:c r="C5" s="28" t="str"/>
      <x:c r="D5" s="28" t="str">
        <x:v>Soll PURE FLOOR PROTECT eine eigenständige öffentliche Produktfamilie, ein Subsystem oder vorerst intern bleiben?</x:v>
      </x:c>
      <x:c r="E5" s="28" t="str">
        <x:v>PORTFOLIO</x:v>
      </x:c>
      <x:c r="F5" s="28" t="str">
        <x:v>Bestimmt Level-2-Navigation und URL-Struktur.</x:v>
      </x:c>
      <x:c r="G5" s="28" t="str">
        <x:v>Portfolio decision after document review</x:v>
      </x:c>
      <x:c r="H5" s="28" t="str">
        <x:v>HIGH</x:v>
      </x:c>
      <x:c r="I5" s="28" t="str"/>
      <x:c r="J5" s="28" t="str">
        <x:v>OPEN</x:v>
      </x:c>
      <x:c r="K5" s="28" t="str"/>
      <x:c r="L5" s="28" t="str"/>
      <x:c r="M5" s="28" t="str"/>
      <x:c r="N5" s="28" t="str">
        <x:v>Classification intentionally deferred.</x:v>
      </x:c>
    </x:row>
    <x:row r="6" ht="42" customHeight="1">
      <x:c r="A6" s="28" t="str">
        <x:v>OPEN-002</x:v>
      </x:c>
      <x:c r="B6" s="28" t="str">
        <x:v>PF-T730</x:v>
      </x:c>
      <x:c r="C6" s="28" t="str"/>
      <x:c r="D6" s="28" t="str">
        <x:v>Soll PURE PROTECT T730 eine eigenständige öffentliche Produktfamilie, ein Subsystem oder vorerst intern bleiben?</x:v>
      </x:c>
      <x:c r="E6" s="28" t="str">
        <x:v>PORTFOLIO</x:v>
      </x:c>
      <x:c r="F6" s="28" t="str">
        <x:v>Bestimmt Level-2-Navigation und regulatorische Kommunikationsarchitektur.</x:v>
      </x:c>
      <x:c r="G6" s="28" t="str">
        <x:v>Portfolio decision after document/regulatory review</x:v>
      </x:c>
      <x:c r="H6" s="28" t="str">
        <x:v>HIGH</x:v>
      </x:c>
      <x:c r="I6" s="28" t="str"/>
      <x:c r="J6" s="28" t="str">
        <x:v>OPEN</x:v>
      </x:c>
      <x:c r="K6" s="28" t="str"/>
      <x:c r="L6" s="28" t="str"/>
      <x:c r="M6" s="28" t="str"/>
      <x:c r="N6" s="28" t="str">
        <x:v>Classification intentionally deferred.</x:v>
      </x:c>
    </x:row>
    <x:row r="7" ht="42" customHeight="1">
      <x:c r="A7" s="28" t="str">
        <x:v>OPEN-003</x:v>
      </x:c>
      <x:c r="B7" s="28" t="str">
        <x:v>PF-SURFACE</x:v>
      </x:c>
      <x:c r="C7" s="28" t="str"/>
      <x:c r="D7" s="28" t="str">
        <x:v>Welche Originalunterlagen belegen LANUV-/UAE-Referenz, Schichtdicke, Flächenleistung und Langzeitwirkung?</x:v>
      </x:c>
      <x:c r="E7" s="28" t="str">
        <x:v>SOURCE</x:v>
      </x:c>
      <x:c r="F7" s="28" t="str">
        <x:v>Hoher potenzieller Website-Nutzen bei gleichzeitigem Evidenzbedarf.</x:v>
      </x:c>
      <x:c r="G7" s="28" t="str">
        <x:v>Original Surface Protect reports / project documentation</x:v>
      </x:c>
      <x:c r="H7" s="28" t="str">
        <x:v>CRITICAL</x:v>
      </x:c>
      <x:c r="I7" s="28" t="str"/>
      <x:c r="J7" s="28" t="str">
        <x:v>OPEN</x:v>
      </x:c>
      <x:c r="K7" s="28" t="str"/>
      <x:c r="L7" s="28" t="str"/>
      <x:c r="M7" s="28" t="str"/>
      <x:c r="N7" s="28" t="str">
        <x:v>Recommended next evidence package.</x:v>
      </x:c>
    </x:row>
    <x:row r="8" ht="42" customHeight="1">
      <x:c r="A8" s="28" t="str">
        <x:v>OPEN-004</x:v>
      </x:c>
      <x:c r="B8" s="28" t="str">
        <x:v>PF-THERMO</x:v>
      </x:c>
      <x:c r="C8" s="28" t="str"/>
      <x:c r="D8" s="28" t="str">
        <x:v>Original Kiwa/MPA-Bericht und formale Rezeptur-/Produktzuordnung vollständig in Website-Evidenzkette aufnehmen.</x:v>
      </x:c>
      <x:c r="E8" s="28" t="str">
        <x:v>EVIDENCE</x:v>
      </x:c>
      <x:c r="F8" s="28" t="str">
        <x:v>Verhindert unzulässige Übertragung eines Materialkennwerts auf ein System.</x:v>
      </x:c>
      <x:c r="G8" s="28" t="str">
        <x:v>Original Kiwa/MPA report + product identity documentation</x:v>
      </x:c>
      <x:c r="H8" s="28" t="str">
        <x:v>CRITICAL</x:v>
      </x:c>
      <x:c r="I8" s="28" t="str"/>
      <x:c r="J8" s="28" t="str">
        <x:v>OPEN</x:v>
      </x:c>
      <x:c r="K8" s="28" t="str">
        <x:v>WCM-PT-001</x:v>
      </x:c>
      <x:c r="L8" s="28" t="str"/>
      <x:c r="M8" s="28" t="str"/>
      <x:c r="N8" s="28" t="str"/>
    </x:row>
    <x:row r="9">
      <x:c r="A9" t="str">
        <x:v>OPEN-005</x:v>
      </x:c>
      <x:c r="B9" t="str">
        <x:v>PF-LHEAT</x:v>
      </x:c>
      <x:c r="C9"/>
      <x:c r="D9" t="str">
        <x:v>Formal substrate compatibility matrix: are any carriers beyond GFB/GFK/Vermiculite released?</x:v>
      </x:c>
      <x:c r="E9" t="str">
        <x:v>EVIDENCE</x:v>
      </x:c>
      <x:c r="F9" t="str">
        <x:v>Older sources conflict with corrected current definition.</x:v>
      </x:c>
      <x:c r="G9" t="str">
        <x:v>Issue controlled substrate/release specification and reconcile TIPMS sources.</x:v>
      </x:c>
      <x:c r="H9" t="str">
        <x:v>CRITICAL</x:v>
      </x:c>
      <x:c r="I9"/>
      <x:c r="J9" t="str">
        <x:v>OPEN</x:v>
      </x:c>
      <x:c r="K9" t="str">
        <x:v>WCM-LH-003</x:v>
      </x:c>
      <x:c r="L9" t="str">
        <x:v>CLM-053</x:v>
      </x:c>
      <x:c r="M9" t="str">
        <x:v>SRC-032</x:v>
      </x:c>
      <x:c r="N9" t="str">
        <x:v>Website interim uses only the three corrected substrates.</x:v>
      </x:c>
    </x:row>
    <x:row r="10">
      <x:c r="A10" t="str">
        <x:v>OPEN-006</x:v>
      </x:c>
      <x:c r="B10" t="str">
        <x:v>PF-LHEAT</x:v>
      </x:c>
      <x:c r="C10"/>
      <x:c r="D10" t="str">
        <x:v>Can the Portugal 24/7 winter reference be supported by original photos, logs, metering and dates?</x:v>
      </x:c>
      <x:c r="E10" t="str">
        <x:v>SOURCE</x:v>
      </x:c>
      <x:c r="F10" t="str">
        <x:v>Would materially strengthen the Evidence section while preserving B status.</x:v>
      </x:c>
      <x:c r="G10" t="str">
        <x:v>Collect original reference package and prepare formal reference report.</x:v>
      </x:c>
      <x:c r="H10" t="str">
        <x:v>HIGH</x:v>
      </x:c>
      <x:c r="I10"/>
      <x:c r="J10" t="str">
        <x:v>OPEN</x:v>
      </x:c>
      <x:c r="K10" t="str">
        <x:v>WCM-LH-006</x:v>
      </x:c>
      <x:c r="L10" t="str">
        <x:v>CLM-002</x:v>
      </x:c>
      <x:c r="M10" t="str">
        <x:v>SRC-031</x:v>
      </x:c>
      <x:c r="N10" t="str">
        <x:v>Do not upgrade to A without independent evidence.</x:v>
      </x:c>
    </x:row>
    <x:row r="11">
      <x:c r="A11" t="str">
        <x:v>OPEN-007</x:v>
      </x:c>
      <x:c r="B11" t="str">
        <x:v>PF-LHEAT</x:v>
      </x:c>
      <x:c r="C11"/>
      <x:c r="D11" t="str">
        <x:v>Which values from the new internal 15/30-mm panel series may be released for future application systems (V, A, W, W/m², temperature, warm-up time)?</x:v>
      </x:c>
      <x:c r="E11" t="str">
        <x:v>EVIDENCE</x:v>
      </x:c>
      <x:c r="F11" t="str">
        <x:v>Family-level generic numbers are unsafe; product pages need measured system data.</x:v>
      </x:c>
      <x:c r="G11" t="str">
        <x:v>Convert SRC-033 into a controlled measurement dossier, map values to adopted system classes and externally repeat key points.</x:v>
      </x:c>
      <x:c r="H11" t="str">
        <x:v>CRITICAL</x:v>
      </x:c>
      <x:c r="I11"/>
      <x:c r="J11" t="str">
        <x:v>OPEN</x:v>
      </x:c>
      <x:c r="K11" t="str">
        <x:v>WCM-LH-016</x:v>
      </x:c>
      <x:c r="L11" t="str">
        <x:v>CLM-057</x:v>
      </x:c>
      <x:c r="M11" t="str">
        <x:v>SRC-033</x:v>
      </x:c>
      <x:c r="N11" t="str">
        <x:v>Internal B/C data now exist; question remains OPEN because no system-class release or external validation exists.</x:v>
      </x:c>
    </x:row>
    <x:row r="12">
      <x:c r="A12" t="str">
        <x:v>OPEN-008</x:v>
      </x:c>
      <x:c r="B12" t="str">
        <x:v>PF-LHEAT</x:v>
      </x:c>
      <x:c r="C12"/>
      <x:c r="D12" t="str">
        <x:v>Are the proposed system classes Interior Comfort, Outdoor Hospitality and OEM Heating Module adopted as formal Level-3 systems?</x:v>
      </x:c>
      <x:c r="E12" t="str">
        <x:v>PORTFOLIO</x:v>
      </x:c>
      <x:c r="F12" t="str">
        <x:v>Defines future URL structure, testing matrices and partner documentation.</x:v>
      </x:c>
      <x:c r="G12" t="str">
        <x:v>Technical/portfolio decision after first validated demonstrators.</x:v>
      </x:c>
      <x:c r="H12" t="str">
        <x:v>HIGH</x:v>
      </x:c>
      <x:c r="I12"/>
      <x:c r="J12" t="str">
        <x:v>OPEN</x:v>
      </x:c>
      <x:c r="K12" t="str">
        <x:v>WCM-LH-013</x:v>
      </x:c>
      <x:c r="L12"/>
      <x:c r="M12" t="str">
        <x:v>SRC-010</x:v>
      </x:c>
      <x:c r="N12" t="str">
        <x:v>Taxonomy entries are PENDING and can be reclassified later.</x:v>
      </x:c>
    </x:row>
    <x:row r="13">
      <x:c r="A13" t="str">
        <x:v>OPEN-009</x:v>
      </x:c>
      <x:c r="B13" t="str">
        <x:v>PF-LHEAT</x:v>
      </x:c>
      <x:c r="C13"/>
      <x:c r="D13" t="str">
        <x:v>Which Liquid Heat images are real prototypes, which are design renders, and what rights exist for website publication?</x:v>
      </x:c>
      <x:c r="E13" t="str">
        <x:v>VISUAL</x:v>
      </x:c>
      <x:c r="F13" t="str">
        <x:v>Current documents mix user images, references and design studies.</x:v>
      </x:c>
      <x:c r="G13" t="str">
        <x:v>Extract original assets, classify REAL / CONCEPT / REFERENCE and verify rights.</x:v>
      </x:c>
      <x:c r="H13" t="str">
        <x:v>CRITICAL</x:v>
      </x:c>
      <x:c r="I13"/>
      <x:c r="J13" t="str">
        <x:v>OPEN</x:v>
      </x:c>
      <x:c r="K13"/>
      <x:c r="L13"/>
      <x:c r="M13" t="str">
        <x:v>SRC-001 / SRC-006 / SRC-032</x:v>
      </x:c>
      <x:c r="N13" t="str">
        <x:v>Do not present concept images as real reference projects.</x:v>
      </x:c>
    </x:row>
    <x:row r="14">
      <x:c r="A14" t="str">
        <x:v>OPEN-010</x:v>
      </x:c>
      <x:c r="B14" t="str">
        <x:v>PF-LHEAT</x:v>
      </x:c>
      <x:c r="C14"/>
      <x:c r="D14" t="str">
        <x:v>What external electrical safety, EMV, IP, fire/temperature and long-term tests exist today for a complete Liquid Heat end system?</x:v>
      </x:c>
      <x:c r="E14" t="str">
        <x:v>REGULATORY</x:v>
      </x:c>
      <x:c r="F14" t="str">
        <x:v>Determines whether any compliance or certification statement can be public.</x:v>
      </x:c>
      <x:c r="G14" t="str">
        <x:v>Collect original test reports or initiate qualification program per system class.</x:v>
      </x:c>
      <x:c r="H14" t="str">
        <x:v>CRITICAL</x:v>
      </x:c>
      <x:c r="I14"/>
      <x:c r="J14" t="str">
        <x:v>OPEN</x:v>
      </x:c>
      <x:c r="K14" t="str">
        <x:v>WCM-LH-012</x:v>
      </x:c>
      <x:c r="L14" t="str">
        <x:v>CLM-058</x:v>
      </x:c>
      <x:c r="M14" t="str">
        <x:v>SRC-010</x:v>
      </x:c>
      <x:c r="N14" t="str">
        <x:v>Current website wording must describe validation path, not existing generic approvals.</x:v>
      </x:c>
    </x:row>
    <x:row r="15">
      <x:c r="A15" t="str">
        <x:v>OPEN-011</x:v>
      </x:c>
      <x:c r="B15" t="str">
        <x:v>PF-LHEAT</x:v>
      </x:c>
      <x:c r="C15"/>
      <x:c r="D15" t="str">
        <x:v>Which public application should become the first fully documented demonstrator/reference?</x:v>
      </x:c>
      <x:c r="E15" t="str">
        <x:v>REFERENCE</x:v>
      </x:c>
      <x:c r="F15" t="str">
        <x:v>A strong reference will provide technical data, images and commercial proof.</x:v>
      </x:c>
      <x:c r="G15" t="str">
        <x:v>Select Premium Outdoor, OEM Panel or Industrial technical-heating pilot and define measurement package.</x:v>
      </x:c>
      <x:c r="H15" t="str">
        <x:v>HIGH</x:v>
      </x:c>
      <x:c r="I15"/>
      <x:c r="J15" t="str">
        <x:v>OPEN</x:v>
      </x:c>
      <x:c r="K15" t="str">
        <x:v>WCM-LH-018</x:v>
      </x:c>
      <x:c r="L15"/>
      <x:c r="M15" t="str">
        <x:v>SRC-010</x:v>
      </x:c>
      <x:c r="N15" t="str">
        <x:v>Master Deck recommends three reference archetypes.</x:v>
      </x:c>
    </x:row>
    <x:row r="16">
      <x:c r="A16" t="str">
        <x:v>OPEN-012</x:v>
      </x:c>
      <x:c r="B16" t="str">
        <x:v>PF-WATER</x:v>
      </x:c>
      <x:c r="C16"/>
      <x:c r="D16" t="str">
        <x:v>Can Hydrotox report 4493 and the full 64-day DSLT data be added as originals and mapped to the current Water/Surface formulation?</x:v>
      </x:c>
      <x:c r="E16" t="str">
        <x:v>EVIDENCE</x:v>
      </x:c>
      <x:c r="F16" t="str">
        <x:v>Required before the website master can upgrade the environmental test from B secondary documentation to A external evidence.</x:v>
      </x:c>
      <x:c r="G16" t="str">
        <x:v>Obtain original Hydrotox report 4493, test-object description and formulation/product identity mapping.</x:v>
      </x:c>
      <x:c r="H16" t="str">
        <x:v>CRITICAL</x:v>
      </x:c>
      <x:c r="I16"/>
      <x:c r="J16" t="str">
        <x:v>OPEN</x:v>
      </x:c>
      <x:c r="K16" t="str">
        <x:v>WCM-WATER-001</x:v>
      </x:c>
      <x:c r="L16" t="str">
        <x:v>CLM-068</x:v>
      </x:c>
      <x:c r="M16" t="str">
        <x:v>SRC-035</x:v>
      </x:c>
      <x:c r="N16" t="str">
        <x:v>No A upgrade without original report.</x:v>
      </x:c>
    </x:row>
    <x:row r="17">
      <x:c r="A17" t="str">
        <x:v>OPEN-013</x:v>
      </x:c>
      <x:c r="B17" t="str">
        <x:v>PF-BOAT</x:v>
      </x:c>
      <x:c r="C17"/>
      <x:c r="D17" t="str">
        <x:v>Can the original test behind the historical GRZ 0.07 / HRZ 0.09 friction values be recovered, including method, laboratory, specimen and formulation?</x:v>
      </x:c>
      <x:c r="E17" t="str">
        <x:v>EVIDENCE</x:v>
      </x:c>
      <x:c r="F17" t="str">
        <x:v>Could become valuable marine-performance evidence, but currently cannot support any speed/fuel/friction claim.</x:v>
      </x:c>
      <x:c r="G17" t="str">
        <x:v>Recover original report and formulation history; reproduce test on current formulation if strategically relevant.</x:v>
      </x:c>
      <x:c r="H17" t="str">
        <x:v>HIGH</x:v>
      </x:c>
      <x:c r="I17"/>
      <x:c r="J17" t="str">
        <x:v>OPEN</x:v>
      </x:c>
      <x:c r="K17" t="str">
        <x:v>WCM-BOAT-001</x:v>
      </x:c>
      <x:c r="L17" t="str">
        <x:v>CLM-069</x:v>
      </x:c>
      <x:c r="M17" t="str">
        <x:v>SRC-036</x:v>
      </x:c>
      <x:c r="N17" t="str">
        <x:v>Historical source only; no public use.</x:v>
      </x:c>
    </x:row>
    <x:row r="18">
      <x:c r="A18" t="str">
        <x:v>OPEN-014</x:v>
      </x:c>
      <x:c r="B18" t="str">
        <x:v>PF-FLOOR</x:v>
      </x:c>
      <x:c r="C18"/>
      <x:c r="D18" t="str">
        <x:v>Can the original TLC test report 2022004 and current DIBt document Z-157.20-256 be controlled and mapped to the current Floor Protect product?</x:v>
      </x:c>
      <x:c r="E18" t="str">
        <x:v>EVIDENCE</x:v>
      </x:c>
      <x:c r="F18" t="str">
        <x:v>Needed for A-level abrasion evidence and any current regulatory/approval wording.</x:v>
      </x:c>
      <x:c r="G18" t="str">
        <x:v>Collect original iTLC and DIBt documents, check validity/scope and product identity.</x:v>
      </x:c>
      <x:c r="H18" t="str">
        <x:v>CRITICAL</x:v>
      </x:c>
      <x:c r="I18"/>
      <x:c r="J18" t="str">
        <x:v>OPEN</x:v>
      </x:c>
      <x:c r="K18" t="str">
        <x:v>WCM-FLOOR-001</x:v>
      </x:c>
      <x:c r="L18" t="str">
        <x:v>CLM-067</x:v>
      </x:c>
      <x:c r="M18" t="str">
        <x:v>SRC-035</x:v>
      </x:c>
      <x:c r="N18" t="str">
        <x:v>Secondary deck is insufficient for A/regulatory approval.</x:v>
      </x:c>
    </x:row>
  </x:sheetData>
  <x:mergeCells>
    <x:mergeCell ref="A1:N1"/>
    <x:mergeCell ref="A2:N2"/>
  </x:mergeCells>
  <x:dataValidations count="2">
    <x:dataValidation type="list" sqref="H5:H1000">
      <x:formula1>99_LISTS!$B$4:$B$7</x:formula1>
    </x:dataValidation>
    <x:dataValidation type="list" sqref="J5:J1000">
      <x:formula1>"OPEN,IN PROGRESS,RESOLVED,HOLD"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f6670a5cc314f35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2" hidden="0" customWidth="1"/>
    <x:col min="3" max="3" width="4" hidden="0" customWidth="1"/>
    <x:col min="4" max="4" width="30" hidden="0" customWidth="1"/>
    <x:col min="5" max="5" width="14" hidden="0" customWidth="1"/>
    <x:col min="6" max="6" width="14" hidden="0" customWidth="1"/>
    <x:col min="7" max="7" width="14" hidden="0" customWidth="1"/>
    <x:col min="8" max="8" width="16" hidden="0" customWidth="1"/>
    <x:col min="9" max="9" width="16" hidden="0" customWidth="1"/>
    <x:col min="10" max="10" width="16" hidden="0" customWidth="1"/>
  </x:cols>
  <x:sheetData>
    <x:row r="1" ht="28" customHeight="1">
      <x:c r="A1" s="4" t="str">
        <x:v>PURE Website Content Master Database V1.3 · Dashboard</x:v>
      </x:c>
    </x:row>
    <x:row r="2">
      <x:c r="A2" s="11" t="str">
        <x:v>Stand 12.09.2026 · Production-Abgleich + Visual-/Asset-Register aktualisiert · Basis TIPMS V2.1 / Communication Book V1.9</x:v>
      </x:c>
    </x:row>
    <x:row r="4">
      <x:c r="A4" s="20" t="str">
        <x:v>KPI</x:v>
      </x:c>
      <x:c r="B4" s="20" t="str">
        <x:v>Wert</x:v>
      </x:c>
      <x:c r="D4" s="20" t="str">
        <x:v>Produktfamilie</x:v>
      </x:c>
      <x:c r="E4" s="20" t="str">
        <x:v>Content</x:v>
      </x:c>
      <x:c r="F4" s="20" t="str">
        <x:v>Claims</x:v>
      </x:c>
      <x:c r="G4" s="20" t="str">
        <x:v>Quellen</x:v>
      </x:c>
    </x:row>
    <x:row r="5">
      <x:c r="A5" s="34" t="str">
        <x:v>Produktfamilien gesamt</x:v>
      </x:c>
      <x:c r="B5" s="36" t="n">
        <x:f>COUNTIF('02_TAXONOMY'!$C$5:$C$200,"PRODUCT FAMILY")</x:f>
        <x:v>9</x:v>
      </x:c>
      <x:c r="D5" s="32" t="str">
        <x:v>PURE THERMO</x:v>
      </x:c>
      <x:c r="E5" s="28" t="n">
        <x:f>COUNTIF('03_CONTENT_MASTER'!$B$5:$B$1000,"PF-THERMO")</x:f>
        <x:v>2</x:v>
      </x:c>
      <x:c r="F5" s="28" t="n">
        <x:f>COUNTIF('04_CLAIM_REGISTER'!$B$5:$B$1000,"PF-THERMO")</x:f>
        <x:v>19</x:v>
      </x:c>
      <x:c r="G5" s="28" t="n">
        <x:f>COUNTIF('06_SOURCE_REGISTER'!$F$5:$F$1000,"PF-THERMO")</x:f>
        <x:v>8</x:v>
      </x:c>
    </x:row>
    <x:row r="6">
      <x:c r="A6" s="34" t="str">
        <x:v>Public Level-2 = YES</x:v>
      </x:c>
      <x:c r="B6" s="36" t="n">
        <x:f>COUNTIF('02_TAXONOMY'!$H$5:$H$200,"YES")</x:f>
        <x:v>7</x:v>
      </x:c>
      <x:c r="D6" s="32" t="str">
        <x:v>PURE LIQUID HEAT</x:v>
      </x:c>
      <x:c r="E6" s="28" t="n">
        <x:v>22</x:v>
      </x:c>
      <x:c r="F6" s="28" t="n">
        <x:v>21</x:v>
      </x:c>
      <x:c r="G6" s="28" t="n">
        <x:v>10</x:v>
      </x:c>
    </x:row>
    <x:row r="7">
      <x:c r="A7" s="34" t="str">
        <x:v>Portfolio-Einordnung PENDING</x:v>
      </x:c>
      <x:c r="B7" s="36" t="n">
        <x:f>COUNTIF('02_TAXONOMY'!$H$5:$H$200,"PENDING")</x:f>
        <x:v>2</x:v>
      </x:c>
      <x:c r="D7" s="32" t="str">
        <x:v>PURE FIRE PROTECT</x:v>
      </x:c>
      <x:c r="E7" s="28" t="n">
        <x:f>COUNTIF('03_CONTENT_MASTER'!$B$5:$B$1000,"PF-FIRE")</x:f>
        <x:v>0</x:v>
      </x:c>
      <x:c r="F7" s="28" t="n">
        <x:f>COUNTIF('04_CLAIM_REGISTER'!$B$5:$B$1000,"PF-FIRE")</x:f>
        <x:v>0</x:v>
      </x:c>
      <x:c r="G7" s="28" t="n">
        <x:f>COUNTIF('06_SOURCE_REGISTER'!$F$5:$F$1000,"PF-FIRE")</x:f>
        <x:v>1</x:v>
      </x:c>
    </x:row>
    <x:row r="8">
      <x:c r="A8" s="34" t="str">
        <x:v>Content-Bausteine</x:v>
      </x:c>
      <x:c r="B8" s="36" t="n">
        <x:v>30</x:v>
      </x:c>
      <x:c r="D8" s="32" t="str">
        <x:v>PURE SURFACE PROTECT</x:v>
      </x:c>
      <x:c r="E8" s="28" t="n">
        <x:v>1</x:v>
      </x:c>
      <x:c r="F8" s="28" t="n">
        <x:v>6</x:v>
      </x:c>
      <x:c r="G8" s="28" t="n">
        <x:v>3</x:v>
      </x:c>
    </x:row>
    <x:row r="9">
      <x:c r="A9" s="34" t="str">
        <x:v>Claims im Register</x:v>
      </x:c>
      <x:c r="B9" s="36" t="n">
        <x:v>69</x:v>
      </x:c>
      <x:c r="D9" s="32" t="str">
        <x:v>PURE WATER PROTECT</x:v>
      </x:c>
      <x:c r="E9" s="28" t="n">
        <x:v>1</x:v>
      </x:c>
      <x:c r="F9" s="28" t="n">
        <x:v>6</x:v>
      </x:c>
      <x:c r="G9" s="28" t="n">
        <x:v>3</x:v>
      </x:c>
    </x:row>
    <x:row r="10">
      <x:c r="A10" s="34" t="str">
        <x:v>Website-Claims freigegeben</x:v>
      </x:c>
      <x:c r="B10" s="36" t="n">
        <x:v>0</x:v>
      </x:c>
      <x:c r="D10" s="32" t="str">
        <x:v>PURE WOOD PROTECT</x:v>
      </x:c>
      <x:c r="E10" s="28" t="n">
        <x:f>COUNTIF('03_CONTENT_MASTER'!$B$5:$B$1000,"PF-WOOD")</x:f>
        <x:v>0</x:v>
      </x:c>
      <x:c r="F10" s="28" t="n">
        <x:f>COUNTIF('04_CLAIM_REGISTER'!$B$5:$B$1000,"PF-WOOD")</x:f>
        <x:v>3</x:v>
      </x:c>
      <x:c r="G10" s="28" t="n">
        <x:f>COUNTIF('06_SOURCE_REGISTER'!$F$5:$F$1000,"PF-WOOD")</x:f>
        <x:v>2</x:v>
      </x:c>
    </x:row>
    <x:row r="11">
      <x:c r="A11" s="34" t="str">
        <x:v>Quellendokumente im Register</x:v>
      </x:c>
      <x:c r="B11" s="36" t="n">
        <x:v>37</x:v>
      </x:c>
      <x:c r="D11" s="32" t="str">
        <x:v>PURE BOAT PROTECT</x:v>
      </x:c>
      <x:c r="E11" s="28" t="n">
        <x:v>1</x:v>
      </x:c>
      <x:c r="F11" s="28" t="n">
        <x:v>5</x:v>
      </x:c>
      <x:c r="G11" s="28" t="n">
        <x:v>3</x:v>
      </x:c>
    </x:row>
    <x:row r="12">
      <x:c r="A12" s="34" t="str">
        <x:v>Offene Konflikte</x:v>
      </x:c>
      <x:c r="B12" s="36" t="n">
        <x:v>3</x:v>
      </x:c>
      <x:c r="D12" s="32" t="str">
        <x:v>PURE FLOOR PROTECT</x:v>
      </x:c>
      <x:c r="E12" s="28" t="n">
        <x:v>1</x:v>
      </x:c>
      <x:c r="F12" s="28" t="n">
        <x:v>3</x:v>
      </x:c>
      <x:c r="G12" s="28" t="n">
        <x:v>2</x:v>
      </x:c>
    </x:row>
    <x:row r="13">
      <x:c r="A13" s="34" t="str">
        <x:v>Offene Fragen</x:v>
      </x:c>
      <x:c r="B13" s="36" t="n">
        <x:v>14</x:v>
      </x:c>
      <x:c r="D13" s="32" t="str">
        <x:v>PURE PROTECT T730</x:v>
      </x:c>
      <x:c r="E13" s="28" t="n">
        <x:f>COUNTIF('03_CONTENT_MASTER'!$B$5:$B$1000,"PF-T730")</x:f>
        <x:v>0</x:v>
      </x:c>
      <x:c r="F13" s="28" t="n">
        <x:f>COUNTIF('04_CLAIM_REGISTER'!$B$5:$B$1000,"PF-T730")</x:f>
        <x:v>5</x:v>
      </x:c>
      <x:c r="G13" s="28" t="n">
        <x:f>COUNTIF('06_SOURCE_REGISTER'!$F$5:$F$1000,"PF-T730")</x:f>
        <x:v>2</x:v>
      </x:c>
    </x:row>
    <x:row r="14">
      <x:c r="A14" t="str">
        <x:v>Visual-Assets im Register</x:v>
      </x:c>
      <x:c r="B14" t="n">
        <x:v>41</x:v>
      </x:c>
    </x:row>
    <x:row r="16">
      <x:c r="A16" s="40" t="str">
        <x:v>Governance-Hinweis · Website ist visuell/contentseitig weitgehend live; Claim-/Evidenzfreigaben bleiben davon getrennt.</x:v>
      </x:c>
    </x:row>
    <x:row r="17">
      <x:c r="A17" s="44" t="str">
        <x:v>PURE FLOOR PROTECT und PURE PROTECT T730 sind in der Taxonomie bewusst mit Public Level 2 = PENDING angelegt. Sie können später zu eigenständigen Familien, Subsystemen oder internen Technologien umklassifiziert werden. Die stabilen IDs sorgen dafür, dass bestehende Content-, Claim-, Quellen- und Visualverknüpfungen dabei erhalten bleiben.</x:v>
      </x:c>
    </x:row>
    <x:row r="22">
      <x:c r="A22" s="40" t="str">
        <x:v>Finale Website-/Visualrunde</x:v>
      </x:c>
    </x:row>
    <x:row r="23">
      <x:c r="A23" s="20" t="str">
        <x:v>Status</x:v>
      </x:c>
      <x:c r="B23" s="20" t="str">
        <x:v>Arbeitspaket</x:v>
      </x:c>
    </x:row>
    <x:row r="24" ht="54" customHeight="1">
      <x:c r="A24" s="28" t="str">
        <x:v>HIGH</x:v>
      </x:c>
      <x:c r="B24" s="28" t="str">
        <x:v>Homepage-Portfolio: drei textlastige Tiles (THERMO / FLOOR / SURFACE) mit ruhigen Bestandsassets harmonisieren.</x:v>
      </x:c>
    </x:row>
    <x:row r="25" ht="54" customHeight="1">
      <x:c r="A25" s="28" t="str">
        <x:v>HIGH</x:v>
      </x:c>
      <x:c r="B25" s="28" t="str">
        <x:v>Nachweise: Anchor-/Highlight-UX final visuell prüfen; Sprungziel allein reicht nicht.</x:v>
      </x:c>
    </x:row>
    <x:row r="26" ht="54" customHeight="1">
      <x:c r="A26" s="28" t="str">
        <x:v>MEDIUM</x:v>
      </x:c>
      <x:c r="B26" s="28" t="str">
        <x:v>Nach aktuellem Asset-Abgleich keine weitere breite Bildproduktion erforderlich; nur gezielte Restmotive bei visueller Abnahme.</x:v>
      </x:c>
    </x:row>
  </x:sheetData>
  <x:mergeCells>
    <x:mergeCell ref="A1:J1"/>
    <x:mergeCell ref="A2:J2"/>
    <x:mergeCell ref="A16:J16"/>
    <x:mergeCell ref="A17:J20"/>
    <x:mergeCell ref="A22:J22"/>
    <x:mergeCell ref="A16:G16"/>
    <x:mergeCell ref="A22:G22"/>
  </x:mergeCells>
  <x:conditionalFormatting sqref="B5:B1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{D2638FC6-472C-3300-CB38-FE30220C2B09}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2638FC6-472C-3300-CB38-FE30220C2B09}">
            <x14:dataBar gradient="1">
              <x14:cfvo type="min"/>
              <x14:cfvo type="max"/>
              <x14:fillColor rgb="FFA02B93"/>
            </x14:dataBar>
          </x14:cfRule>
          <xm:sqref>B5:B13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6" hidden="0" customWidth="1"/>
    <x:col min="3" max="3" width="22" hidden="0" customWidth="1"/>
    <x:col min="4" max="4" width="32" hidden="0" customWidth="1"/>
    <x:col min="5" max="5" width="30" hidden="0" customWidth="1"/>
    <x:col min="6" max="6" width="24" hidden="0" customWidth="1"/>
    <x:col min="7" max="7" width="14" hidden="0" customWidth="1"/>
    <x:col min="8" max="8" width="14" hidden="0" customWidth="1"/>
    <x:col min="9" max="9" width="20" hidden="0" customWidth="1"/>
    <x:col min="10" max="10" width="10" hidden="0" customWidth="1"/>
    <x:col min="11" max="11" width="16" hidden="0" customWidth="1"/>
    <x:col min="12" max="12" width="14" hidden="0" customWidth="1"/>
    <x:col min="13" max="13" width="36" hidden="0" customWidth="1"/>
    <x:col min="14" max="14" width="42" hidden="0" customWidth="1"/>
  </x:cols>
  <x:sheetData>
    <x:row r="1" ht="24" customHeight="1">
      <x:c r="A1" s="49" t="str">
        <x:v>10 · ASSET REGISTER · Production Snapshot 12.09.2026</x:v>
      </x:c>
      <x:c r="B1" s="49"/>
      <x:c r="C1" s="49"/>
      <x:c r="D1" s="49"/>
      <x:c r="E1" s="49"/>
      <x:c r="F1" s="49"/>
      <x:c r="G1" s="49"/>
      <x:c r="H1" s="49"/>
      <x:c r="I1" s="49"/>
      <x:c r="J1" s="49"/>
      <x:c r="K1" s="49"/>
      <x:c r="L1" s="49"/>
      <x:c r="M1" s="49"/>
      <x:c r="N1" s="49"/>
    </x:row>
    <x:row r="2" ht="34" customHeight="1">
      <x:c r="A2" s="52" t="str">
        <x:v>Granulares Register der aktuell relevanten Website-Visuals. Kommunikationsvisuals sind keine Leistungsnachweise; reale Referenz-/Prüfbilder bleiben evidenzseitig separat zu bewerten.</x:v>
      </x:c>
      <x:c r="B2" s="52"/>
      <x:c r="C2" s="52"/>
      <x:c r="D2" s="52"/>
      <x:c r="E2" s="52"/>
      <x:c r="F2" s="52"/>
      <x:c r="G2" s="52"/>
      <x:c r="H2" s="52"/>
      <x:c r="I2" s="52"/>
      <x:c r="J2" s="52"/>
      <x:c r="K2" s="52"/>
      <x:c r="L2" s="52"/>
      <x:c r="M2" s="52"/>
      <x:c r="N2" s="52"/>
    </x:row>
    <x:row r="3">
      <x:c r="A3" s="60" t="str">
        <x:v>Production baseline: https://pure-flv9lo3mc-supervisor77dw-debugs-projects.vercel.app/ · verified 12.09.2026</x:v>
      </x:c>
      <x:c r="B3" s="60"/>
      <x:c r="C3" s="60"/>
      <x:c r="D3" s="60"/>
      <x:c r="E3" s="60"/>
      <x:c r="F3" s="60"/>
      <x:c r="G3" s="60"/>
      <x:c r="H3" s="60"/>
      <x:c r="I3" s="60"/>
      <x:c r="J3" s="60"/>
      <x:c r="K3" s="60"/>
      <x:c r="L3" s="60"/>
      <x:c r="M3" s="60"/>
      <x:c r="N3" s="60"/>
    </x:row>
    <x:row r="4" ht="34" customHeight="1">
      <x:c r="A4" s="56" t="str">
        <x:v>ASSET-ID</x:v>
      </x:c>
      <x:c r="B4" s="56" t="str">
        <x:v>ASSET NAME / FILENAME</x:v>
      </x:c>
      <x:c r="C4" s="56" t="str">
        <x:v>PRODUCT FAMILY</x:v>
      </x:c>
      <x:c r="D4" s="56" t="str">
        <x:v>PAGE / ROUTE</x:v>
      </x:c>
      <x:c r="E4" s="56" t="str">
        <x:v>SECTION / SLOT</x:v>
      </x:c>
      <x:c r="F4" s="56" t="str">
        <x:v>VISUAL TYPE</x:v>
      </x:c>
      <x:c r="G4" s="56" t="str">
        <x:v>ORIGIN</x:v>
      </x:c>
      <x:c r="H4" s="56" t="str">
        <x:v>STATUS</x:v>
      </x:c>
      <x:c r="I4" s="56" t="str">
        <x:v>WEBSITE USE</x:v>
      </x:c>
      <x:c r="J4" s="56" t="str">
        <x:v>DE/EN</x:v>
      </x:c>
      <x:c r="K4" s="56" t="str">
        <x:v>EVIDENCE ROLE</x:v>
      </x:c>
      <x:c r="L4" s="56" t="str">
        <x:v>RIGHTS STATUS</x:v>
      </x:c>
      <x:c r="M4" s="56" t="str">
        <x:v>ALT / SHORT DESCRIPTION</x:v>
      </x:c>
      <x:c r="N4" s="56" t="str">
        <x:v>NOTES</x:v>
      </x:c>
    </x:row>
    <x:row r="5">
      <x:c r="A5" s="57" t="str">
        <x:v>AST-PLAT-001</x:v>
      </x:c>
      <x:c r="B5" s="57" t="str">
        <x:v>Transluzente funktionale Materialschichten über dunklem mineralischen Substrat</x:v>
      </x:c>
      <x:c r="C5" s="57" t="str">
        <x:v>PLATFORM</x:v>
      </x:c>
      <x:c r="D5" s="57" t="str">
        <x:v>/</x:v>
      </x:c>
      <x:c r="E5" s="57" t="str">
        <x:v>Homepage Hero</x:v>
      </x:c>
      <x:c r="F5" s="57" t="str">
        <x:v>HERO IMAGE</x:v>
      </x:c>
      <x:c r="G5" s="57" t="str">
        <x:v>GENERATED</x:v>
      </x:c>
      <x:c r="H5" s="57" t="str">
        <x:v>LIVE</x:v>
      </x:c>
      <x:c r="I5" s="57" t="str">
        <x:v>Hero</x:v>
      </x:c>
      <x:c r="J5" s="57" t="str">
        <x:v>SHARED</x:v>
      </x:c>
      <x:c r="K5" s="57" t="str">
        <x:v>ILLUSTRATIVE</x:v>
      </x:c>
      <x:c r="L5" s="57" t="str">
        <x:v>OPEN</x:v>
      </x:c>
      <x:c r="M5" s="57" t="str">
        <x:v>Funktionale Materialschichten auf mineralischem Substrat</x:v>
      </x:c>
      <x:c r="N5" s="57" t="str">
        <x:v>Current Production hero.</x:v>
      </x:c>
    </x:row>
    <x:row r="6">
      <x:c r="A6" s="57" t="str">
        <x:v>AST-PT-001</x:v>
      </x:c>
      <x:c r="B6" s="57" t="str">
        <x:v>Translucent functional coating on a rough mineral surface</x:v>
      </x:c>
      <x:c r="C6" s="57" t="str">
        <x:v>PURE THERMO</x:v>
      </x:c>
      <x:c r="D6" s="57" t="str">
        <x:v>/de/produkte/pure-thermo</x:v>
      </x:c>
      <x:c r="E6" s="57" t="str">
        <x:v>Hero</x:v>
      </x:c>
      <x:c r="F6" s="57" t="str">
        <x:v>HERO IMAGE</x:v>
      </x:c>
      <x:c r="G6" s="57" t="str">
        <x:v>GENERATED</x:v>
      </x:c>
      <x:c r="H6" s="57" t="str">
        <x:v>LIVE</x:v>
      </x:c>
      <x:c r="I6" s="57" t="str">
        <x:v>Hero</x:v>
      </x:c>
      <x:c r="J6" s="57" t="str">
        <x:v>SHARED</x:v>
      </x:c>
      <x:c r="K6" s="57" t="str">
        <x:v>ILLUSTRATIVE</x:v>
      </x:c>
      <x:c r="L6" s="57" t="str">
        <x:v>OPEN</x:v>
      </x:c>
      <x:c r="M6" s="57" t="str">
        <x:v>Transluzente Funktionsschicht auf rauer mineralischer Oberfläche</x:v>
      </x:c>
      <x:c r="N6" s="57" t="str">
        <x:v>Current Product Hero.</x:v>
      </x:c>
    </x:row>
    <x:row r="7">
      <x:c r="A7" s="57" t="str">
        <x:v>AST-PT-002</x:v>
      </x:c>
      <x:c r="B7" s="57" t="str">
        <x:v>Detaillierter Fensteranschluss mit Dämmfassade</x:v>
      </x:c>
      <x:c r="C7" s="57" t="str">
        <x:v>PURE THERMO</x:v>
      </x:c>
      <x:c r="D7" s="57" t="str">
        <x:v>/de/produkte/pure-thermo; /de/systeme/pure-thermo-exterior; /de/systeme/pure-thermo-detail</x:v>
      </x:c>
      <x:c r="E7" s="57" t="str">
        <x:v>Laibungen / lokale Außen-Details / Fensterlaibung</x:v>
      </x:c>
      <x:c r="F7" s="57" t="str">
        <x:v>ARCHITECTURE IMAGE</x:v>
      </x:c>
      <x:c r="G7" s="57" t="str">
        <x:v>GENERATED</x:v>
      </x:c>
      <x:c r="H7" s="57" t="str">
        <x:v>APPROVED</x:v>
      </x:c>
      <x:c r="I7" s="57" t="str">
        <x:v>Card background</x:v>
      </x:c>
      <x:c r="J7" s="57" t="str">
        <x:v>SHARED</x:v>
      </x:c>
      <x:c r="K7" s="57" t="str">
        <x:v>ILLUSTRATIVE</x:v>
      </x:c>
      <x:c r="L7" s="57" t="str">
        <x:v>OPEN</x:v>
      </x:c>
      <x:c r="M7" s="57" t="str">
        <x:v>Fensteranschluss und Laibungsdetail</x:v>
      </x:c>
      <x:c r="N7" s="57" t="str">
        <x:v>Use with crop-specific focus.</x:v>
      </x:c>
    </x:row>
    <x:row r="8">
      <x:c r="A8" s="57" t="str">
        <x:v>AST-PT-003</x:v>
      </x:c>
      <x:c r="B8" s="57" t="str">
        <x:v>Kühler Keller, warmes Raumklima</x:v>
      </x:c>
      <x:c r="C8" s="57" t="str">
        <x:v>PURE THERMO</x:v>
      </x:c>
      <x:c r="D8" s="57" t="str">
        <x:v>/de/produkte/pure-thermo; /de/systeme/pure-thermo-detail</x:v>
      </x:c>
      <x:c r="E8" s="57" t="str">
        <x:v>Kalte Innenoberflächen / Deckenanschluss</x:v>
      </x:c>
      <x:c r="F8" s="57" t="str">
        <x:v>ARCHITECTURE IMAGE</x:v>
      </x:c>
      <x:c r="G8" s="57" t="str">
        <x:v>GENERATED</x:v>
      </x:c>
      <x:c r="H8" s="57" t="str">
        <x:v>APPROVED</x:v>
      </x:c>
      <x:c r="I8" s="57" t="str">
        <x:v>Card background</x:v>
      </x:c>
      <x:c r="J8" s="57" t="str">
        <x:v>SHARED</x:v>
      </x:c>
      <x:c r="K8" s="57" t="str">
        <x:v>ILLUSTRATIVE</x:v>
      </x:c>
      <x:c r="L8" s="57" t="str">
        <x:v>OPEN</x:v>
      </x:c>
      <x:c r="M8" s="57" t="str">
        <x:v>Kühler Innenbereich mit thermisch relevantem Decken-/Wanddetail</x:v>
      </x:c>
      <x:c r="N8" s="57" t="str">
        <x:v>Do not duplicate crop next to Keller asset.</x:v>
      </x:c>
    </x:row>
    <x:row r="9">
      <x:c r="A9" s="57" t="str">
        <x:v>AST-PT-004</x:v>
      </x:c>
      <x:c r="B9" s="57" t="str">
        <x:v>Heller, aufgeräumter Kellerraum</x:v>
      </x:c>
      <x:c r="C9" s="57" t="str">
        <x:v>PURE THERMO</x:v>
      </x:c>
      <x:c r="D9" s="57" t="str">
        <x:v>/de/produkte/pure-thermo; /de/systeme/pure-thermo-interior; /de/systeme/pure-thermo-detail</x:v>
      </x:c>
      <x:c r="E9" s="57" t="str">
        <x:v>Keller / Ecke / Boden-Wand-Anschluss</x:v>
      </x:c>
      <x:c r="F9" s="57" t="str">
        <x:v>ARCHITECTURE IMAGE</x:v>
      </x:c>
      <x:c r="G9" s="57" t="str">
        <x:v>GENERATED</x:v>
      </x:c>
      <x:c r="H9" s="57" t="str">
        <x:v>APPROVED</x:v>
      </x:c>
      <x:c r="I9" s="57" t="str">
        <x:v>Card background</x:v>
      </x:c>
      <x:c r="J9" s="57" t="str">
        <x:v>SHARED</x:v>
      </x:c>
      <x:c r="K9" s="57" t="str">
        <x:v>ILLUSTRATIVE</x:v>
      </x:c>
      <x:c r="L9" s="57" t="str">
        <x:v>OPEN</x:v>
      </x:c>
      <x:c r="M9" s="57" t="str">
        <x:v>Heller Kellerraum mit klaren Anschlussflächen</x:v>
      </x:c>
      <x:c r="N9" s="57" t="str">
        <x:v>Use different crops per slot.</x:v>
      </x:c>
    </x:row>
    <x:row r="10">
      <x:c r="A10" s="57" t="str">
        <x:v>AST-PT-005</x:v>
      </x:c>
      <x:c r="B10" s="57" t="str">
        <x:v>Ornate Pariser Jugendstilfassade im Sonnenlicht</x:v>
      </x:c>
      <x:c r="C10" s="57" t="str">
        <x:v>PURE THERMO</x:v>
      </x:c>
      <x:c r="D10" s="57" t="str">
        <x:v>/de/produkte/pure-thermo; /de/systeme/pure-thermo-exterior; /de/systeme/pure-thermo-detail</x:v>
      </x:c>
      <x:c r="E10" s="57" t="str">
        <x:v>Komplexe Geometrien / Bestandsflächen</x:v>
      </x:c>
      <x:c r="F10" s="57" t="str">
        <x:v>ARCHITECTURE IMAGE</x:v>
      </x:c>
      <x:c r="G10" s="57" t="str">
        <x:v>GENERATED</x:v>
      </x:c>
      <x:c r="H10" s="57" t="str">
        <x:v>APPROVED</x:v>
      </x:c>
      <x:c r="I10" s="57" t="str">
        <x:v>Card background</x:v>
      </x:c>
      <x:c r="J10" s="57" t="str">
        <x:v>SHARED</x:v>
      </x:c>
      <x:c r="K10" s="57" t="str">
        <x:v>ILLUSTRATIVE</x:v>
      </x:c>
      <x:c r="L10" s="57" t="str">
        <x:v>OPEN</x:v>
      </x:c>
      <x:c r="M10" s="57" t="str">
        <x:v>Historische Fassade mit komplexer Geometrie</x:v>
      </x:c>
      <x:c r="N10" s="57" t="str">
        <x:v>For geometry / heritage context only.</x:v>
      </x:c>
    </x:row>
    <x:row r="11">
      <x:c r="A11" s="57" t="str">
        <x:v>AST-PT-006</x:v>
      </x:c>
      <x:c r="B11" s="57" t="str">
        <x:v>Verwitterte Steinfassade im Sonnenlicht</x:v>
      </x:c>
      <x:c r="C11" s="57" t="str">
        <x:v>PURE THERMO / SURFACE</x:v>
      </x:c>
      <x:c r="D11" s="57" t="str">
        <x:v>/de/produkte/pure-thermo; /de/systeme/pure-thermo-exterior</x:v>
      </x:c>
      <x:c r="E11" s="57" t="str">
        <x:v>Bestandsdetails / mineralische Untergründe</x:v>
      </x:c>
      <x:c r="F11" s="57" t="str">
        <x:v>ARCHITECTURE IMAGE</x:v>
      </x:c>
      <x:c r="G11" s="57" t="str">
        <x:v>GENERATED</x:v>
      </x:c>
      <x:c r="H11" s="57" t="str">
        <x:v>APPROVED</x:v>
      </x:c>
      <x:c r="I11" s="57" t="str">
        <x:v>Card background</x:v>
      </x:c>
      <x:c r="J11" s="57" t="str">
        <x:v>SHARED</x:v>
      </x:c>
      <x:c r="K11" s="57" t="str">
        <x:v>ILLUSTRATIVE</x:v>
      </x:c>
      <x:c r="L11" s="57" t="str">
        <x:v>OPEN</x:v>
      </x:c>
      <x:c r="M11" s="57" t="str">
        <x:v>Verwitterte mineralische Bestandsoberfläche</x:v>
      </x:c>
      <x:c r="N11" s="57" t="str">
        <x:v>Suitable for mineral substrate / existing fabric.</x:v>
      </x:c>
    </x:row>
    <x:row r="12">
      <x:c r="A12" s="57" t="str">
        <x:v>AST-PT-007</x:v>
      </x:c>
      <x:c r="B12" s="57" t="str">
        <x:v>Moderne Fassade im Abendlicht</x:v>
      </x:c>
      <x:c r="C12" s="57" t="str">
        <x:v>PURE THERMO / SURFACE</x:v>
      </x:c>
      <x:c r="D12" s="57" t="str">
        <x:v>/de/systeme/pure-thermo-exterior</x:v>
      </x:c>
      <x:c r="E12" s="57" t="str">
        <x:v>Fassaden</x:v>
      </x:c>
      <x:c r="F12" s="57" t="str">
        <x:v>ARCHITECTURE IMAGE</x:v>
      </x:c>
      <x:c r="G12" s="57" t="str">
        <x:v>GENERATED</x:v>
      </x:c>
      <x:c r="H12" s="57" t="str">
        <x:v>APPROVED</x:v>
      </x:c>
      <x:c r="I12" s="57" t="str">
        <x:v>Card background</x:v>
      </x:c>
      <x:c r="J12" s="57" t="str">
        <x:v>SHARED</x:v>
      </x:c>
      <x:c r="K12" s="57" t="str">
        <x:v>ILLUSTRATIVE</x:v>
      </x:c>
      <x:c r="L12" s="57" t="str">
        <x:v>OPEN</x:v>
      </x:c>
      <x:c r="M12" s="57" t="str">
        <x:v>Moderne Fassadenoberfläche im Abendlicht</x:v>
      </x:c>
      <x:c r="N12" s="57" t="str">
        <x:v>Exterior façade route.</x:v>
      </x:c>
    </x:row>
    <x:row r="13">
      <x:c r="A13" s="57" t="str">
        <x:v>AST-PT-008</x:v>
      </x:c>
      <x:c r="B13" s="57" t="str">
        <x:v>Moderne Fassade mit Seeblick</x:v>
      </x:c>
      <x:c r="C13" s="57" t="str">
        <x:v>PURE THERMO</x:v>
      </x:c>
      <x:c r="D13" s="57" t="str">
        <x:v>/de/systeme/pure-thermo-exterior</x:v>
      </x:c>
      <x:c r="E13" s="57" t="str">
        <x:v>Bauteile mit begrenztem Eingriff</x:v>
      </x:c>
      <x:c r="F13" s="57" t="str">
        <x:v>ARCHITECTURE IMAGE</x:v>
      </x:c>
      <x:c r="G13" s="57" t="str">
        <x:v>GENERATED</x:v>
      </x:c>
      <x:c r="H13" s="57" t="str">
        <x:v>APPROVED</x:v>
      </x:c>
      <x:c r="I13" s="57" t="str">
        <x:v>Card background</x:v>
      </x:c>
      <x:c r="J13" s="57" t="str">
        <x:v>SHARED</x:v>
      </x:c>
      <x:c r="K13" s="57" t="str">
        <x:v>ILLUSTRATIVE</x:v>
      </x:c>
      <x:c r="L13" s="57" t="str">
        <x:v>OPEN</x:v>
      </x:c>
      <x:c r="M13" s="57" t="str">
        <x:v>Moderne Fassade mit konstruktivem Detailbereich</x:v>
      </x:c>
      <x:c r="N13" s="57" t="str">
        <x:v>Use for bounded intervention context.</x:v>
      </x:c>
    </x:row>
    <x:row r="14">
      <x:c r="A14" s="57" t="str">
        <x:v>AST-PT-009</x:v>
      </x:c>
      <x:c r="B14" s="57" t="str">
        <x:v>Architektonischer Wandschichtquerschnitt</x:v>
      </x:c>
      <x:c r="C14" s="57" t="str">
        <x:v>PURE THERMO</x:v>
      </x:c>
      <x:c r="D14" s="57" t="str">
        <x:v>/de/produkte/pure-thermo; /de/systeme/pure-thermo-detail</x:v>
      </x:c>
      <x:c r="E14" s="57" t="str">
        <x:v>Technische Sonderfläche / technische Oberfläche</x:v>
      </x:c>
      <x:c r="F14" s="57" t="str">
        <x:v>SYSTEM CROSS-SECTION / ARCHITECTURE IMAGE</x:v>
      </x:c>
      <x:c r="G14" s="57" t="str">
        <x:v>GENERATED</x:v>
      </x:c>
      <x:c r="H14" s="57" t="str">
        <x:v>LIVE</x:v>
      </x:c>
      <x:c r="I14" s="57" t="str">
        <x:v>Card background / detail</x:v>
      </x:c>
      <x:c r="J14" s="57" t="str">
        <x:v>SHARED</x:v>
      </x:c>
      <x:c r="K14" s="57" t="str">
        <x:v>ILLUSTRATIVE</x:v>
      </x:c>
      <x:c r="L14" s="57" t="str">
        <x:v>OPEN</x:v>
      </x:c>
      <x:c r="M14" s="57" t="str">
        <x:v>Architektonischer Wand- und Schichtquerschnitt</x:v>
      </x:c>
      <x:c r="N14" s="57" t="str">
        <x:v>Preferred technical-surface motif.</x:v>
      </x:c>
    </x:row>
    <x:row r="15">
      <x:c r="A15" s="57" t="str">
        <x:v>AST-PT-010</x:v>
      </x:c>
      <x:c r="B15" s="57" t="str">
        <x:v>Minimalistische Fensternische im Betonraum</x:v>
      </x:c>
      <x:c r="C15" s="57" t="str">
        <x:v>PURE THERMO DETAIL</x:v>
      </x:c>
      <x:c r="D15" s="57" t="str">
        <x:v>/de/systeme/pure-thermo-detail</x:v>
      </x:c>
      <x:c r="E15" s="57" t="str">
        <x:v>Nische</x:v>
      </x:c>
      <x:c r="F15" s="57" t="str">
        <x:v>ARCHITECTURE IMAGE</x:v>
      </x:c>
      <x:c r="G15" s="57" t="str">
        <x:v>GENERATED</x:v>
      </x:c>
      <x:c r="H15" s="57" t="str">
        <x:v>LIVE</x:v>
      </x:c>
      <x:c r="I15" s="57" t="str">
        <x:v>Card background</x:v>
      </x:c>
      <x:c r="J15" s="57" t="str">
        <x:v>SHARED</x:v>
      </x:c>
      <x:c r="K15" s="57" t="str">
        <x:v>ILLUSTRATIVE</x:v>
      </x:c>
      <x:c r="L15" s="57" t="str">
        <x:v>OPEN</x:v>
      </x:c>
      <x:c r="M15" s="57" t="str">
        <x:v>Kleine Fensternische mit hoher Detailrelevanz</x:v>
      </x:c>
      <x:c r="N15" s="57" t="str">
        <x:v>Dedicated niche asset.</x:v>
      </x:c>
    </x:row>
    <x:row r="16">
      <x:c r="A16" s="57" t="str">
        <x:v>AST-PT-011</x:v>
      </x:c>
      <x:c r="B16" s="57" t="str">
        <x:v>Moderne Fensterlaibung im Abendlicht</x:v>
      </x:c>
      <x:c r="C16" s="57" t="str">
        <x:v>PURE THERMO DETAIL</x:v>
      </x:c>
      <x:c r="D16" s="57" t="str">
        <x:v>/de/systeme/pure-thermo-detail</x:v>
      </x:c>
      <x:c r="E16" s="57" t="str">
        <x:v>Sturz</x:v>
      </x:c>
      <x:c r="F16" s="57" t="str">
        <x:v>ARCHITECTURE IMAGE</x:v>
      </x:c>
      <x:c r="G16" s="57" t="str">
        <x:v>GENERATED</x:v>
      </x:c>
      <x:c r="H16" s="57" t="str">
        <x:v>LIVE</x:v>
      </x:c>
      <x:c r="I16" s="57" t="str">
        <x:v>Card background</x:v>
      </x:c>
      <x:c r="J16" s="57" t="str">
        <x:v>SHARED</x:v>
      </x:c>
      <x:c r="K16" s="57" t="str">
        <x:v>ILLUSTRATIVE</x:v>
      </x:c>
      <x:c r="L16" s="57" t="str">
        <x:v>OPEN</x:v>
      </x:c>
      <x:c r="M16" s="57" t="str">
        <x:v>Oberer Fensteranschluss / Sturz mit begrenztem Bauraum</x:v>
      </x:c>
      <x:c r="N16" s="57" t="str">
        <x:v>Crop to horizontal lintel zone.</x:v>
      </x:c>
    </x:row>
    <x:row r="17">
      <x:c r="A17" s="57" t="str">
        <x:v>AST-FIRE-001</x:v>
      </x:c>
      <x:c r="B17" s="57" t="str">
        <x:v>Brennendes Holzhaus am Seeufer</x:v>
      </x:c>
      <x:c r="C17" s="57" t="str">
        <x:v>PURE FIRE PROTECT</x:v>
      </x:c>
      <x:c r="D17" s="57" t="str">
        <x:v>/de/produkte/pure-fire-protect</x:v>
      </x:c>
      <x:c r="E17" s="57" t="str">
        <x:v>Holzbau</x:v>
      </x:c>
      <x:c r="F17" s="57" t="str">
        <x:v>FIRE APPLICATION</x:v>
      </x:c>
      <x:c r="G17" s="57" t="str">
        <x:v>GENERATED</x:v>
      </x:c>
      <x:c r="H17" s="57" t="str">
        <x:v>LIVE</x:v>
      </x:c>
      <x:c r="I17" s="57" t="str">
        <x:v>Application card</x:v>
      </x:c>
      <x:c r="J17" s="57" t="str">
        <x:v>SHARED</x:v>
      </x:c>
      <x:c r="K17" s="57" t="str">
        <x:v>ILLUSTRATIVE</x:v>
      </x:c>
      <x:c r="L17" s="57" t="str">
        <x:v>OPEN</x:v>
      </x:c>
      <x:c r="M17" s="57" t="str">
        <x:v>Holzbau im Brandszenario</x:v>
      </x:c>
      <x:c r="N17" s="57" t="str">
        <x:v>No performance claim from image.</x:v>
      </x:c>
    </x:row>
    <x:row r="18">
      <x:c r="A18" s="57" t="str">
        <x:v>AST-FIRE-002</x:v>
      </x:c>
      <x:c r="B18" s="57" t="str">
        <x:v>Brennendes Reetdach im Abendlicht</x:v>
      </x:c>
      <x:c r="C18" s="57" t="str">
        <x:v>PURE FIRE PROTECT</x:v>
      </x:c>
      <x:c r="D18" s="57" t="str">
        <x:v>/de/produkte/pure-fire-protect</x:v>
      </x:c>
      <x:c r="E18" s="57" t="str">
        <x:v>Reet &amp; Naturmaterialien</x:v>
      </x:c>
      <x:c r="F18" s="57" t="str">
        <x:v>FIRE APPLICATION</x:v>
      </x:c>
      <x:c r="G18" s="57" t="str">
        <x:v>GENERATED</x:v>
      </x:c>
      <x:c r="H18" s="57" t="str">
        <x:v>LIVE</x:v>
      </x:c>
      <x:c r="I18" s="57" t="str">
        <x:v>Application card</x:v>
      </x:c>
      <x:c r="J18" s="57" t="str">
        <x:v>SHARED</x:v>
      </x:c>
      <x:c r="K18" s="57" t="str">
        <x:v>ILLUSTRATIVE</x:v>
      </x:c>
      <x:c r="L18" s="57" t="str">
        <x:v>OPEN</x:v>
      </x:c>
      <x:c r="M18" s="57" t="str">
        <x:v>Reetdach im Brandszenario</x:v>
      </x:c>
      <x:c r="N18" s="57" t="str">
        <x:v>No tested-transfer implication.</x:v>
      </x:c>
    </x:row>
    <x:row r="19">
      <x:c r="A19" s="57" t="str">
        <x:v>AST-FIRE-003</x:v>
      </x:c>
      <x:c r="B19" s="57" t="str">
        <x:v>Brennendes Rathaus im Feuerwehreinsatz</x:v>
      </x:c>
      <x:c r="C19" s="57" t="str">
        <x:v>PURE FIRE PROTECT</x:v>
      </x:c>
      <x:c r="D19" s="57" t="str">
        <x:v>/de/produkte/pure-fire-protect</x:v>
      </x:c>
      <x:c r="E19" s="57" t="str">
        <x:v>Öffentliche Gebäude</x:v>
      </x:c>
      <x:c r="F19" s="57" t="str">
        <x:v>FIRE APPLICATION</x:v>
      </x:c>
      <x:c r="G19" s="57" t="str">
        <x:v>GENERATED</x:v>
      </x:c>
      <x:c r="H19" s="57" t="str">
        <x:v>LIVE</x:v>
      </x:c>
      <x:c r="I19" s="57" t="str">
        <x:v>Application card</x:v>
      </x:c>
      <x:c r="J19" s="57" t="str">
        <x:v>SHARED</x:v>
      </x:c>
      <x:c r="K19" s="57" t="str">
        <x:v>ILLUSTRATIVE</x:v>
      </x:c>
      <x:c r="L19" s="57" t="str">
        <x:v>OPEN</x:v>
      </x:c>
      <x:c r="M19" s="57" t="str">
        <x:v>Öffentliches Gebäude im Feuerwehreinsatz</x:v>
      </x:c>
      <x:c r="N19" s="57" t="str">
        <x:v>Illustrative only.</x:v>
      </x:c>
    </x:row>
    <x:row r="20">
      <x:c r="A20" s="57" t="str">
        <x:v>AST-FIRE-004</x:v>
      </x:c>
      <x:c r="B20" s="57" t="str">
        <x:v>Industriebrand mit kämpfenden Feuerwehrleuten</x:v>
      </x:c>
      <x:c r="C20" s="57" t="str">
        <x:v>PURE FIRE PROTECT</x:v>
      </x:c>
      <x:c r="D20" s="57" t="str">
        <x:v>/de/produkte/pure-fire-protect</x:v>
      </x:c>
      <x:c r="E20" s="57" t="str">
        <x:v>Verbundpaneele / Industrie</x:v>
      </x:c>
      <x:c r="F20" s="57" t="str">
        <x:v>FIRE APPLICATION</x:v>
      </x:c>
      <x:c r="G20" s="57" t="str">
        <x:v>GENERATED</x:v>
      </x:c>
      <x:c r="H20" s="57" t="str">
        <x:v>LIVE</x:v>
      </x:c>
      <x:c r="I20" s="57" t="str">
        <x:v>Application card</x:v>
      </x:c>
      <x:c r="J20" s="57" t="str">
        <x:v>SHARED</x:v>
      </x:c>
      <x:c r="K20" s="57" t="str">
        <x:v>ILLUSTRATIVE</x:v>
      </x:c>
      <x:c r="L20" s="57" t="str">
        <x:v>OPEN</x:v>
      </x:c>
      <x:c r="M20" s="57" t="str">
        <x:v>Industrie-/Paneelbrand im Einsatzkontext</x:v>
      </x:c>
      <x:c r="N20" s="57" t="str">
        <x:v>Illustrative only.</x:v>
      </x:c>
    </x:row>
    <x:row r="21">
      <x:c r="A21" s="57" t="str">
        <x:v>AST-FIRE-005</x:v>
      </x:c>
      <x:c r="B21" s="57" t="str">
        <x:v>BESS-Brand mit Feuerwehr im Einsatz</x:v>
      </x:c>
      <x:c r="C21" s="57" t="str">
        <x:v>PURE FIRE PROTECT</x:v>
      </x:c>
      <x:c r="D21" s="57" t="str">
        <x:v>/de/produkte/pure-fire-protect</x:v>
      </x:c>
      <x:c r="E21" s="57" t="str">
        <x:v>Batterie / Hochtemperatur</x:v>
      </x:c>
      <x:c r="F21" s="57" t="str">
        <x:v>FIRE APPLICATION</x:v>
      </x:c>
      <x:c r="G21" s="57" t="str">
        <x:v>GENERATED</x:v>
      </x:c>
      <x:c r="H21" s="57" t="str">
        <x:v>LIVE</x:v>
      </x:c>
      <x:c r="I21" s="57" t="str">
        <x:v>Application card</x:v>
      </x:c>
      <x:c r="J21" s="57" t="str">
        <x:v>SHARED</x:v>
      </x:c>
      <x:c r="K21" s="57" t="str">
        <x:v>ILLUSTRATIVE</x:v>
      </x:c>
      <x:c r="L21" s="57" t="str">
        <x:v>OPEN</x:v>
      </x:c>
      <x:c r="M21" s="57" t="str">
        <x:v>BESS-/Hochtemperatur-Entwicklungsroute</x:v>
      </x:c>
      <x:c r="N21" s="57" t="str">
        <x:v>Development route only.</x:v>
      </x:c>
    </x:row>
    <x:row r="22">
      <x:c r="A22" s="57" t="str">
        <x:v>AST-FIRE-006</x:v>
      </x:c>
      <x:c r="B22" s="57" t="str">
        <x:v>Dramatischer Waldbrandeinsatz bei Sonnenuntergang</x:v>
      </x:c>
      <x:c r="C22" s="57" t="str">
        <x:v>PURE FIRE PROTECT</x:v>
      </x:c>
      <x:c r="D22" s="57" t="str">
        <x:v>/de/produkte/pure-fire-protect</x:v>
      </x:c>
      <x:c r="E22" s="57" t="str">
        <x:v>Wildland / aktive Feuerbekämpfung</x:v>
      </x:c>
      <x:c r="F22" s="57" t="str">
        <x:v>FIRE APPLICATION</x:v>
      </x:c>
      <x:c r="G22" s="57" t="str">
        <x:v>GENERATED</x:v>
      </x:c>
      <x:c r="H22" s="57" t="str">
        <x:v>LIVE</x:v>
      </x:c>
      <x:c r="I22" s="57" t="str">
        <x:v>Application card</x:v>
      </x:c>
      <x:c r="J22" s="57" t="str">
        <x:v>SHARED</x:v>
      </x:c>
      <x:c r="K22" s="57" t="str">
        <x:v>ILLUSTRATIVE</x:v>
      </x:c>
      <x:c r="L22" s="57" t="str">
        <x:v>OPEN</x:v>
      </x:c>
      <x:c r="M22" s="57" t="str">
        <x:v>Wildland-Brandbekämpfung</x:v>
      </x:c>
      <x:c r="N22" s="57" t="str">
        <x:v>Separate development route.</x:v>
      </x:c>
    </x:row>
    <x:row r="23">
      <x:c r="A23" s="57" t="str">
        <x:v>AST-WOOD-001</x:v>
      </x:c>
      <x:c r="B23" s="57" t="str">
        <x:v>Verwitterte Holzfassade im Abendlicht</x:v>
      </x:c>
      <x:c r="C23" s="57" t="str">
        <x:v>PURE WOOD PROTECT</x:v>
      </x:c>
      <x:c r="D23" s="57" t="str">
        <x:v>/de/produkte/pure-wood-protect</x:v>
      </x:c>
      <x:c r="E23" s="57" t="str">
        <x:v>Holzfassaden</x:v>
      </x:c>
      <x:c r="F23" s="57" t="str">
        <x:v>WOOD APPLICATION</x:v>
      </x:c>
      <x:c r="G23" s="57" t="str">
        <x:v>GENERATED</x:v>
      </x:c>
      <x:c r="H23" s="57" t="str">
        <x:v>APPROVED</x:v>
      </x:c>
      <x:c r="I23" s="57" t="str">
        <x:v>Application card</x:v>
      </x:c>
      <x:c r="J23" s="57" t="str">
        <x:v>SHARED</x:v>
      </x:c>
      <x:c r="K23" s="57" t="str">
        <x:v>ILLUSTRATIVE</x:v>
      </x:c>
      <x:c r="L23" s="57" t="str">
        <x:v>OPEN</x:v>
      </x:c>
      <x:c r="M23" s="57" t="str">
        <x:v>Verwitterte sichtbare Holzfassade</x:v>
      </x:c>
      <x:c r="N23" s="57" t="str">
        <x:v>Use as façade context.</x:v>
      </x:c>
    </x:row>
    <x:row r="24">
      <x:c r="A24" s="57" t="str">
        <x:v>AST-WOOD-002</x:v>
      </x:c>
      <x:c r="B24" s="57" t="str">
        <x:v>Regennasse Terrasse mit Weitblick</x:v>
      </x:c>
      <x:c r="C24" s="57" t="str">
        <x:v>PURE WOOD PROTECT</x:v>
      </x:c>
      <x:c r="D24" s="57" t="str">
        <x:v>/de/produkte/pure-wood-protect</x:v>
      </x:c>
      <x:c r="E24" s="57" t="str">
        <x:v>Terrassen &amp; Decks</x:v>
      </x:c>
      <x:c r="F24" s="57" t="str">
        <x:v>WOOD APPLICATION</x:v>
      </x:c>
      <x:c r="G24" s="57" t="str">
        <x:v>GENERATED</x:v>
      </x:c>
      <x:c r="H24" s="57" t="str">
        <x:v>APPROVED</x:v>
      </x:c>
      <x:c r="I24" s="57" t="str">
        <x:v>Application card</x:v>
      </x:c>
      <x:c r="J24" s="57" t="str">
        <x:v>SHARED</x:v>
      </x:c>
      <x:c r="K24" s="57" t="str">
        <x:v>ILLUSTRATIVE</x:v>
      </x:c>
      <x:c r="L24" s="57" t="str">
        <x:v>OPEN</x:v>
      </x:c>
      <x:c r="M24" s="57" t="str">
        <x:v>Nasse Holzterrasse</x:v>
      </x:c>
      <x:c r="N24" s="57" t="str">
        <x:v>Water/weather context.</x:v>
      </x:c>
    </x:row>
    <x:row r="25">
      <x:c r="A25" s="57" t="str">
        <x:v>AST-WOOD-003</x:v>
      </x:c>
      <x:c r="B25" s="57" t="str">
        <x:v>Luxus-Terrasse im goldenen Abendlicht</x:v>
      </x:c>
      <x:c r="C25" s="57" t="str">
        <x:v>PURE WOOD PROTECT</x:v>
      </x:c>
      <x:c r="D25" s="57" t="str">
        <x:v>/de/produkte/pure-wood-protect</x:v>
      </x:c>
      <x:c r="E25" s="57" t="str">
        <x:v>Outdoor-Möbel</x:v>
      </x:c>
      <x:c r="F25" s="57" t="str">
        <x:v>WOOD APPLICATION</x:v>
      </x:c>
      <x:c r="G25" s="57" t="str">
        <x:v>GENERATED</x:v>
      </x:c>
      <x:c r="H25" s="57" t="str">
        <x:v>APPROVED</x:v>
      </x:c>
      <x:c r="I25" s="57" t="str">
        <x:v>Application card</x:v>
      </x:c>
      <x:c r="J25" s="57" t="str">
        <x:v>SHARED</x:v>
      </x:c>
      <x:c r="K25" s="57" t="str">
        <x:v>ILLUSTRATIVE</x:v>
      </x:c>
      <x:c r="L25" s="57" t="str">
        <x:v>OPEN</x:v>
      </x:c>
      <x:c r="M25" s="57" t="str">
        <x:v>Hochwertige Outdoor-Holzmöbel</x:v>
      </x:c>
      <x:c r="N25" s="57" t="str">
        <x:v>Dedicated outdoor furniture motif.</x:v>
      </x:c>
    </x:row>
    <x:row r="26">
      <x:c r="A26" s="57" t="str">
        <x:v>AST-WOOD-004</x:v>
      </x:c>
      <x:c r="B26" s="57" t="str">
        <x:v>Warmes Chalet-Wohnzimmer mit Bergblick</x:v>
      </x:c>
      <x:c r="C26" s="57" t="str">
        <x:v>PURE WOOD PROTECT</x:v>
      </x:c>
      <x:c r="D26" s="57" t="str">
        <x:v>/de/produkte/pure-wood-protect; /de/systeme/pure-thermo-interior</x:v>
      </x:c>
      <x:c r="E26" s="57" t="str">
        <x:v>Innenholz / Innen- und Bestandswände</x:v>
      </x:c>
      <x:c r="F26" s="57" t="str">
        <x:v>WOOD APPLICATION / ARCHITECTURE IMAGE</x:v>
      </x:c>
      <x:c r="G26" s="57" t="str">
        <x:v>GENERATED</x:v>
      </x:c>
      <x:c r="H26" s="57" t="str">
        <x:v>APPROVED</x:v>
      </x:c>
      <x:c r="I26" s="57" t="str">
        <x:v>Application card</x:v>
      </x:c>
      <x:c r="J26" s="57" t="str">
        <x:v>SHARED</x:v>
      </x:c>
      <x:c r="K26" s="57" t="str">
        <x:v>ILLUSTRATIVE</x:v>
      </x:c>
      <x:c r="L26" s="57" t="str">
        <x:v>OPEN</x:v>
      </x:c>
      <x:c r="M26" s="57" t="str">
        <x:v>Warmer Innenraum mit sichtbaren Holzoberflächen</x:v>
      </x:c>
      <x:c r="N26" s="57" t="str">
        <x:v>Wood + interior context.</x:v>
      </x:c>
    </x:row>
    <x:row r="27">
      <x:c r="A27" s="57" t="str">
        <x:v>AST-WOOD-005</x:v>
      </x:c>
      <x:c r="B27" s="57" t="str">
        <x:v>Abgenutztes Yachtdeck im Sonnenlicht</x:v>
      </x:c>
      <x:c r="C27" s="57" t="str">
        <x:v>PURE WOOD / BOAT</x:v>
      </x:c>
      <x:c r="D27" s="57" t="str">
        <x:v>/de/produkte/pure-wood-protect; /de/produkte/pure-boat-protect</x:v>
      </x:c>
      <x:c r="E27" s="57" t="str">
        <x:v>Yacht-Teak / Deck</x:v>
      </x:c>
      <x:c r="F27" s="57" t="str">
        <x:v>MARINE APPLICATION</x:v>
      </x:c>
      <x:c r="G27" s="57" t="str">
        <x:v>GENERATED</x:v>
      </x:c>
      <x:c r="H27" s="57" t="str">
        <x:v>APPROVED</x:v>
      </x:c>
      <x:c r="I27" s="57" t="str">
        <x:v>Application card</x:v>
      </x:c>
      <x:c r="J27" s="57" t="str">
        <x:v>SHARED</x:v>
      </x:c>
      <x:c r="K27" s="57" t="str">
        <x:v>ILLUSTRATIVE</x:v>
      </x:c>
      <x:c r="L27" s="57" t="str">
        <x:v>OPEN</x:v>
      </x:c>
      <x:c r="M27" s="57" t="str">
        <x:v>Beanspruchtes Teakdeck</x:v>
      </x:c>
      <x:c r="N27" s="57" t="str">
        <x:v>Use for Yacht-Teak / wear context.</x:v>
      </x:c>
    </x:row>
    <x:row r="28">
      <x:c r="A28" s="57" t="str">
        <x:v>AST-WOOD-006</x:v>
      </x:c>
      <x:c r="B28" s="57" t="str">
        <x:v>Sonniger Innenhof mit Holzdecks</x:v>
      </x:c>
      <x:c r="C28" s="57" t="str">
        <x:v>PURE WOOD PROTECT</x:v>
      </x:c>
      <x:c r="D28" s="57" t="str">
        <x:v>/de/produkte/pure-wood-protect</x:v>
      </x:c>
      <x:c r="E28" s="57" t="str">
        <x:v>Public Wood</x:v>
      </x:c>
      <x:c r="F28" s="57" t="str">
        <x:v>WOOD APPLICATION</x:v>
      </x:c>
      <x:c r="G28" s="57" t="str">
        <x:v>GENERATED</x:v>
      </x:c>
      <x:c r="H28" s="57" t="str">
        <x:v>APPROVED</x:v>
      </x:c>
      <x:c r="I28" s="57" t="str">
        <x:v>Application card</x:v>
      </x:c>
      <x:c r="J28" s="57" t="str">
        <x:v>SHARED</x:v>
      </x:c>
      <x:c r="K28" s="57" t="str">
        <x:v>ILLUSTRATIVE</x:v>
      </x:c>
      <x:c r="L28" s="57" t="str">
        <x:v>OPEN</x:v>
      </x:c>
      <x:c r="M28" s="57" t="str">
        <x:v>Öffentlich genutzte Holzdecks und Sitzflächen</x:v>
      </x:c>
      <x:c r="N28" s="57" t="str">
        <x:v>Dedicated public wood motif.</x:v>
      </x:c>
    </x:row>
    <x:row r="29">
      <x:c r="A29" s="57" t="str">
        <x:v>AST-BOAT-001</x:v>
      </x:c>
      <x:c r="B29" s="57" t="str">
        <x:v>Premium Teak-Yachtdeck mit dunklen Fugen</x:v>
      </x:c>
      <x:c r="C29" s="57" t="str">
        <x:v>PURE BOAT PROTECT</x:v>
      </x:c>
      <x:c r="D29" s="57" t="str">
        <x:v>/de/produkte/pure-boat-protect</x:v>
      </x:c>
      <x:c r="E29" s="57" t="str">
        <x:v>Deck / Cockpit</x:v>
      </x:c>
      <x:c r="F29" s="57" t="str">
        <x:v>MARINE APPLICATION</x:v>
      </x:c>
      <x:c r="G29" s="57" t="str">
        <x:v>GENERATED</x:v>
      </x:c>
      <x:c r="H29" s="57" t="str">
        <x:v>APPROVED</x:v>
      </x:c>
      <x:c r="I29" s="57" t="str">
        <x:v>Yacht zone card</x:v>
      </x:c>
      <x:c r="J29" s="57" t="str">
        <x:v>SHARED</x:v>
      </x:c>
      <x:c r="K29" s="57" t="str">
        <x:v>ILLUSTRATIVE</x:v>
      </x:c>
      <x:c r="L29" s="57" t="str">
        <x:v>OPEN</x:v>
      </x:c>
      <x:c r="M29" s="57" t="str">
        <x:v>Teakdeck mit dunklen Fugen</x:v>
      </x:c>
      <x:c r="N29" s="57" t="str">
        <x:v>Deck context.</x:v>
      </x:c>
    </x:row>
    <x:row r="30">
      <x:c r="A30" s="57" t="str">
        <x:v>AST-BOAT-002</x:v>
      </x:c>
      <x:c r="B30" s="57" t="str">
        <x:v>Luxuriöses Marineleder im Sonnenlicht</x:v>
      </x:c>
      <x:c r="C30" s="57" t="str">
        <x:v>PURE BOAT PROTECT</x:v>
      </x:c>
      <x:c r="D30" s="57" t="str">
        <x:v>/de/produkte/pure-boat-protect</x:v>
      </x:c>
      <x:c r="E30" s="57" t="str">
        <x:v>Cockpit / Leder</x:v>
      </x:c>
      <x:c r="F30" s="57" t="str">
        <x:v>MARINE APPLICATION</x:v>
      </x:c>
      <x:c r="G30" s="57" t="str">
        <x:v>GENERATED</x:v>
      </x:c>
      <x:c r="H30" s="57" t="str">
        <x:v>LIVE</x:v>
      </x:c>
      <x:c r="I30" s="57" t="str">
        <x:v>Yacht zone card</x:v>
      </x:c>
      <x:c r="J30" s="57" t="str">
        <x:v>SHARED</x:v>
      </x:c>
      <x:c r="K30" s="57" t="str">
        <x:v>ILLUSTRATIVE</x:v>
      </x:c>
      <x:c r="L30" s="57" t="str">
        <x:v>OPEN</x:v>
      </x:c>
      <x:c r="M30" s="57" t="str">
        <x:v>Marineleder im Yacht-Cockpit</x:v>
      </x:c>
      <x:c r="N30" s="57" t="str">
        <x:v>Leather zone.</x:v>
      </x:c>
    </x:row>
    <x:row r="31">
      <x:c r="A31" s="57" t="str">
        <x:v>AST-BOAT-003</x:v>
      </x:c>
      <x:c r="B31" s="57" t="str">
        <x:v>Polierter Edelstahlbeschlag im Sonnenuntergang</x:v>
      </x:c>
      <x:c r="C31" s="57" t="str">
        <x:v>PURE BOAT PROTECT</x:v>
      </x:c>
      <x:c r="D31" s="57" t="str">
        <x:v>/de/produkte/pure-boat-protect</x:v>
      </x:c>
      <x:c r="E31" s="57" t="str">
        <x:v>Metall / Beschläge</x:v>
      </x:c>
      <x:c r="F31" s="57" t="str">
        <x:v>MARINE APPLICATION</x:v>
      </x:c>
      <x:c r="G31" s="57" t="str">
        <x:v>GENERATED</x:v>
      </x:c>
      <x:c r="H31" s="57" t="str">
        <x:v>LIVE</x:v>
      </x:c>
      <x:c r="I31" s="57" t="str">
        <x:v>Yacht zone card</x:v>
      </x:c>
      <x:c r="J31" s="57" t="str">
        <x:v>SHARED</x:v>
      </x:c>
      <x:c r="K31" s="57" t="str">
        <x:v>ILLUSTRATIVE</x:v>
      </x:c>
      <x:c r="L31" s="57" t="str">
        <x:v>OPEN</x:v>
      </x:c>
      <x:c r="M31" s="57" t="str">
        <x:v>Polierter Edelstahlbeschlag</x:v>
      </x:c>
      <x:c r="N31" s="57" t="str">
        <x:v>Metal fitting zone.</x:v>
      </x:c>
    </x:row>
    <x:row r="32">
      <x:c r="A32" s="57" t="str">
        <x:v>AST-BOAT-004</x:v>
      </x:c>
      <x:c r="B32" s="57" t="str">
        <x:v>Charterflotte</x:v>
      </x:c>
      <x:c r="C32" s="57" t="str">
        <x:v>PURE BOAT PROTECT</x:v>
      </x:c>
      <x:c r="D32" s="57" t="str">
        <x:v>/de/produkte/pure-boat-protect</x:v>
      </x:c>
      <x:c r="E32" s="57" t="str">
        <x:v>Charterflotten</x:v>
      </x:c>
      <x:c r="F32" s="57" t="str">
        <x:v>MARINE APPLICATION</x:v>
      </x:c>
      <x:c r="G32" s="57" t="str">
        <x:v>GENERATED</x:v>
      </x:c>
      <x:c r="H32" s="57" t="str">
        <x:v>LIVE</x:v>
      </x:c>
      <x:c r="I32" s="57" t="str">
        <x:v>Yacht zone card</x:v>
      </x:c>
      <x:c r="J32" s="57" t="str">
        <x:v>SHARED</x:v>
      </x:c>
      <x:c r="K32" s="57" t="str">
        <x:v>ILLUSTRATIVE</x:v>
      </x:c>
      <x:c r="L32" s="57" t="str">
        <x:v>OPEN</x:v>
      </x:c>
      <x:c r="M32" s="57" t="str">
        <x:v>Mehrere Yachten im Flottenkontext</x:v>
      </x:c>
      <x:c r="N32" s="57" t="str">
        <x:v>Fleet context.</x:v>
      </x:c>
    </x:row>
    <x:row r="33">
      <x:c r="A33" s="57" t="str">
        <x:v>AST-BOAT-005</x:v>
      </x:c>
      <x:c r="B33" s="57" t="str">
        <x:v>Luxusyacht</x:v>
      </x:c>
      <x:c r="C33" s="57" t="str">
        <x:v>PURE BOAT PROTECT</x:v>
      </x:c>
      <x:c r="D33" s="57" t="str">
        <x:v>/de/produkte/pure-boat-protect</x:v>
      </x:c>
      <x:c r="E33" s="57" t="str">
        <x:v>Luxusyachten</x:v>
      </x:c>
      <x:c r="F33" s="57" t="str">
        <x:v>MARINE APPLICATION</x:v>
      </x:c>
      <x:c r="G33" s="57" t="str">
        <x:v>GENERATED</x:v>
      </x:c>
      <x:c r="H33" s="57" t="str">
        <x:v>LIVE</x:v>
      </x:c>
      <x:c r="I33" s="57" t="str">
        <x:v>Yacht zone card</x:v>
      </x:c>
      <x:c r="J33" s="57" t="str">
        <x:v>SHARED</x:v>
      </x:c>
      <x:c r="K33" s="57" t="str">
        <x:v>ILLUSTRATIVE</x:v>
      </x:c>
      <x:c r="L33" s="57" t="str">
        <x:v>OPEN</x:v>
      </x:c>
      <x:c r="M33" s="57" t="str">
        <x:v>Luxusyacht im Premiumkontext</x:v>
      </x:c>
      <x:c r="N33" s="57" t="str">
        <x:v>Premium yacht zone.</x:v>
      </x:c>
    </x:row>
    <x:row r="34">
      <x:c r="A34" s="57" t="str">
        <x:v>AST-WATER-001</x:v>
      </x:c>
      <x:c r="B34" s="57" t="str">
        <x:v>Unterwasserblick auf einen bewachsenen Bootsrumpf</x:v>
      </x:c>
      <x:c r="C34" s="57" t="str">
        <x:v>PURE WATER PROTECT</x:v>
      </x:c>
      <x:c r="D34" s="57" t="str">
        <x:v>/de/produkte/pure-water-protect</x:v>
      </x:c>
      <x:c r="E34" s="57" t="str">
        <x:v>Marine challenge / growth</x:v>
      </x:c>
      <x:c r="F34" s="57" t="str">
        <x:v>WATER APPLICATION</x:v>
      </x:c>
      <x:c r="G34" s="57" t="str">
        <x:v>GENERATED</x:v>
      </x:c>
      <x:c r="H34" s="57" t="str">
        <x:v>APPROVED</x:v>
      </x:c>
      <x:c r="I34" s="57" t="str">
        <x:v>Application visual</x:v>
      </x:c>
      <x:c r="J34" s="57" t="str">
        <x:v>SHARED</x:v>
      </x:c>
      <x:c r="K34" s="57" t="str">
        <x:v>ILLUSTRATIVE</x:v>
      </x:c>
      <x:c r="L34" s="57" t="str">
        <x:v>OPEN</x:v>
      </x:c>
      <x:c r="M34" s="57" t="str">
        <x:v>Bewachsener Bootsrumpf unter Wasser</x:v>
      </x:c>
      <x:c r="N34" s="57" t="str">
        <x:v>No antifouling claim.</x:v>
      </x:c>
    </x:row>
    <x:row r="35">
      <x:c r="A35" s="57" t="str">
        <x:v>AST-WATER-002</x:v>
      </x:c>
      <x:c r="B35" s="57" t="str">
        <x:v>Unterwasserreinigung eines Bootsrumpfs</x:v>
      </x:c>
      <x:c r="C35" s="57" t="str">
        <x:v>PURE WATER PROTECT</x:v>
      </x:c>
      <x:c r="D35" s="57" t="str">
        <x:v>/de/produkte/pure-water-protect</x:v>
      </x:c>
      <x:c r="E35" s="57" t="str">
        <x:v>Reinigung / Oberflächenverschleiß</x:v>
      </x:c>
      <x:c r="F35" s="57" t="str">
        <x:v>WATER APPLICATION</x:v>
      </x:c>
      <x:c r="G35" s="57" t="str">
        <x:v>GENERATED</x:v>
      </x:c>
      <x:c r="H35" s="57" t="str">
        <x:v>APPROVED</x:v>
      </x:c>
      <x:c r="I35" s="57" t="str">
        <x:v>Application visual</x:v>
      </x:c>
      <x:c r="J35" s="57" t="str">
        <x:v>SHARED</x:v>
      </x:c>
      <x:c r="K35" s="57" t="str">
        <x:v>ILLUSTRATIVE</x:v>
      </x:c>
      <x:c r="L35" s="57" t="str">
        <x:v>OPEN</x:v>
      </x:c>
      <x:c r="M35" s="57" t="str">
        <x:v>Unterwasserreinigung eines Rumpfs</x:v>
      </x:c>
      <x:c r="N35" s="57" t="str">
        <x:v>Cleaning context.</x:v>
      </x:c>
    </x:row>
    <x:row r="36">
      <x:c r="A36" s="57" t="str">
        <x:v>AST-WATER-003</x:v>
      </x:c>
      <x:c r="B36" s="57" t="str">
        <x:v>Luxusyacht im funkelnden Sonnenmeer</x:v>
      </x:c>
      <x:c r="C36" s="57" t="str">
        <x:v>PURE WATER / BOAT</x:v>
      </x:c>
      <x:c r="D36" s="57" t="str">
        <x:v>/de/produkte/pure-water-protect; /de/produkte/pure-boat-protect</x:v>
      </x:c>
      <x:c r="E36" s="57" t="str">
        <x:v>Betrieb / Premium marine</x:v>
      </x:c>
      <x:c r="F36" s="57" t="str">
        <x:v>MARINE APPLICATION</x:v>
      </x:c>
      <x:c r="G36" s="57" t="str">
        <x:v>GENERATED</x:v>
      </x:c>
      <x:c r="H36" s="57" t="str">
        <x:v>APPROVED</x:v>
      </x:c>
      <x:c r="I36" s="57" t="str">
        <x:v>Application visual</x:v>
      </x:c>
      <x:c r="J36" s="57" t="str">
        <x:v>SHARED</x:v>
      </x:c>
      <x:c r="K36" s="57" t="str">
        <x:v>ILLUSTRATIVE</x:v>
      </x:c>
      <x:c r="L36" s="57" t="str">
        <x:v>OPEN</x:v>
      </x:c>
      <x:c r="M36" s="57" t="str">
        <x:v>Yachtoberfläche im maritimen Betrieb</x:v>
      </x:c>
      <x:c r="N36" s="57" t="str">
        <x:v>Premium maritime context.</x:v>
      </x:c>
    </x:row>
    <x:row r="37">
      <x:c r="A37" s="57" t="str">
        <x:v>AST-WATER-004</x:v>
      </x:c>
      <x:c r="B37" s="57" t="str">
        <x:v>Bewachsener Yacht-Rumpf am Wasserline</x:v>
      </x:c>
      <x:c r="C37" s="57" t="str">
        <x:v>PURE WATER PROTECT</x:v>
      </x:c>
      <x:c r="D37" s="57" t="str">
        <x:v>/de/produkte/pure-water-protect</x:v>
      </x:c>
      <x:c r="E37" s="57" t="str">
        <x:v>Salzwasser / Marine Exposition</x:v>
      </x:c>
      <x:c r="F37" s="57" t="str">
        <x:v>WATER APPLICATION</x:v>
      </x:c>
      <x:c r="G37" s="57" t="str">
        <x:v>GENERATED</x:v>
      </x:c>
      <x:c r="H37" s="57" t="str">
        <x:v>APPROVED</x:v>
      </x:c>
      <x:c r="I37" s="57" t="str">
        <x:v>Application visual</x:v>
      </x:c>
      <x:c r="J37" s="57" t="str">
        <x:v>SHARED</x:v>
      </x:c>
      <x:c r="K37" s="57" t="str">
        <x:v>ILLUSTRATIVE</x:v>
      </x:c>
      <x:c r="L37" s="57" t="str">
        <x:v>OPEN</x:v>
      </x:c>
      <x:c r="M37" s="57" t="str">
        <x:v>Bewuchs an der Wasserlinie</x:v>
      </x:c>
      <x:c r="N37" s="57" t="str">
        <x:v>Challenge context.</x:v>
      </x:c>
    </x:row>
    <x:row r="38">
      <x:c r="A38" s="57" t="str">
        <x:v>AST-SURF-001</x:v>
      </x:c>
      <x:c r="B38" s="57" t="str">
        <x:v>Moderne Fassade im Abendlicht</x:v>
      </x:c>
      <x:c r="C38" s="57" t="str">
        <x:v>PURE SURFACE PROTECT</x:v>
      </x:c>
      <x:c r="D38" s="57" t="str">
        <x:v>/de/produkte/pure-surface-protect</x:v>
      </x:c>
      <x:c r="E38" s="57" t="str">
        <x:v>UV &amp; Witterung / Portfolio tile candidate</x:v>
      </x:c>
      <x:c r="F38" s="57" t="str">
        <x:v>ARCHITECTURE IMAGE</x:v>
      </x:c>
      <x:c r="G38" s="57" t="str">
        <x:v>GENERATED</x:v>
      </x:c>
      <x:c r="H38" s="57" t="str">
        <x:v>APPROVED</x:v>
      </x:c>
      <x:c r="I38" s="57" t="str">
        <x:v>Challenge card / homepage candidate</x:v>
      </x:c>
      <x:c r="J38" s="57" t="str">
        <x:v>SHARED</x:v>
      </x:c>
      <x:c r="K38" s="57" t="str">
        <x:v>ILLUSTRATIVE</x:v>
      </x:c>
      <x:c r="L38" s="57" t="str">
        <x:v>OPEN</x:v>
      </x:c>
      <x:c r="M38" s="57" t="str">
        <x:v>Moderne hochwertige Fassadenoberfläche</x:v>
      </x:c>
      <x:c r="N38" s="57" t="str">
        <x:v>Good calm homepage tile candidate.</x:v>
      </x:c>
    </x:row>
    <x:row r="39">
      <x:c r="A39" s="57" t="str">
        <x:v>AST-SURF-002</x:v>
      </x:c>
      <x:c r="B39" s="57" t="str">
        <x:v>Verwitterte Steinfassade im Sonnenlicht</x:v>
      </x:c>
      <x:c r="C39" s="57" t="str">
        <x:v>PURE SURFACE PROTECT</x:v>
      </x:c>
      <x:c r="D39" s="57" t="str">
        <x:v>/de/produkte/pure-surface-protect</x:v>
      </x:c>
      <x:c r="E39" s="57" t="str">
        <x:v>Schmutz &amp; Beläge</x:v>
      </x:c>
      <x:c r="F39" s="57" t="str">
        <x:v>ARCHITECTURE IMAGE</x:v>
      </x:c>
      <x:c r="G39" s="57" t="str">
        <x:v>GENERATED</x:v>
      </x:c>
      <x:c r="H39" s="57" t="str">
        <x:v>APPROVED</x:v>
      </x:c>
      <x:c r="I39" s="57" t="str">
        <x:v>Challenge card</x:v>
      </x:c>
      <x:c r="J39" s="57" t="str">
        <x:v>SHARED</x:v>
      </x:c>
      <x:c r="K39" s="57" t="str">
        <x:v>ILLUSTRATIVE</x:v>
      </x:c>
      <x:c r="L39" s="57" t="str">
        <x:v>OPEN</x:v>
      </x:c>
      <x:c r="M39" s="57" t="str">
        <x:v>Verschmutzte mineralische Oberfläche</x:v>
      </x:c>
      <x:c r="N39" s="57" t="str">
        <x:v>Surface challenge.</x:v>
      </x:c>
    </x:row>
    <x:row r="40">
      <x:c r="A40" s="57" t="str">
        <x:v>AST-SURF-003</x:v>
      </x:c>
      <x:c r="B40" s="57" t="str">
        <x:v>Industrieller Boden mit Reinigungsschaum</x:v>
      </x:c>
      <x:c r="C40" s="57" t="str">
        <x:v>PURE SURFACE / FLOOR</x:v>
      </x:c>
      <x:c r="D40" s="57" t="str">
        <x:v>/de/produkte/pure-surface-protect</x:v>
      </x:c>
      <x:c r="E40" s="57" t="str">
        <x:v>Abrieb &amp; Chemie</x:v>
      </x:c>
      <x:c r="F40" s="57" t="str">
        <x:v>INDUSTRIAL APPLICATION</x:v>
      </x:c>
      <x:c r="G40" s="57" t="str">
        <x:v>GENERATED</x:v>
      </x:c>
      <x:c r="H40" s="57" t="str">
        <x:v>APPROVED</x:v>
      </x:c>
      <x:c r="I40" s="57" t="str">
        <x:v>Challenge card</x:v>
      </x:c>
      <x:c r="J40" s="57" t="str">
        <x:v>SHARED</x:v>
      </x:c>
      <x:c r="K40" s="57" t="str">
        <x:v>ILLUSTRATIVE</x:v>
      </x:c>
      <x:c r="L40" s="57" t="str">
        <x:v>OPEN</x:v>
      </x:c>
      <x:c r="M40" s="57" t="str">
        <x:v>Industrieboden mit Reinigungschemie</x:v>
      </x:c>
      <x:c r="N40" s="57" t="str">
        <x:v>Chemical/abrasion context.</x:v>
      </x:c>
    </x:row>
    <x:row r="41">
      <x:c r="A41" s="57" t="str">
        <x:v>AST-SURF-004</x:v>
      </x:c>
      <x:c r="B41" s="57" t="str">
        <x:v>Restaurierung historischer Fassadenornamente</x:v>
      </x:c>
      <x:c r="C41" s="57" t="str">
        <x:v>PURE SURFACE PROTECT</x:v>
      </x:c>
      <x:c r="D41" s="57" t="str">
        <x:v>/de/produkte/pure-surface-protect</x:v>
      </x:c>
      <x:c r="E41" s="57" t="str">
        <x:v>Pflege &amp; Sanierung</x:v>
      </x:c>
      <x:c r="F41" s="57" t="str">
        <x:v>ARCHITECTURE IMAGE</x:v>
      </x:c>
      <x:c r="G41" s="57" t="str">
        <x:v>GENERATED</x:v>
      </x:c>
      <x:c r="H41" s="57" t="str">
        <x:v>APPROVED</x:v>
      </x:c>
      <x:c r="I41" s="57" t="str">
        <x:v>Challenge card</x:v>
      </x:c>
      <x:c r="J41" s="57" t="str">
        <x:v>SHARED</x:v>
      </x:c>
      <x:c r="K41" s="57" t="str">
        <x:v>ILLUSTRATIVE</x:v>
      </x:c>
      <x:c r="L41" s="57" t="str">
        <x:v>OPEN</x:v>
      </x:c>
      <x:c r="M41" s="57" t="str">
        <x:v>Restaurierung historischer Fassadendetails</x:v>
      </x:c>
      <x:c r="N41" s="57" t="str">
        <x:v>Renovation context.</x:v>
      </x:c>
    </x:row>
    <x:row r="42">
      <x:c r="A42" s="57" t="str">
        <x:v>AST-FLOOR-001</x:v>
      </x:c>
      <x:c r="B42" s="57" t="str">
        <x:v>Vorher-Nachher Fitnessboden im Vergleich</x:v>
      </x:c>
      <x:c r="C42" s="57" t="str">
        <x:v>PURE FLOOR PROTECT</x:v>
      </x:c>
      <x:c r="D42" s="57" t="str">
        <x:v>/de/produkte/pure-floor-protect</x:v>
      </x:c>
      <x:c r="E42" s="57" t="str">
        <x:v>Fitness &amp; Sport</x:v>
      </x:c>
      <x:c r="F42" s="57" t="str">
        <x:v>APPLICATION IMAGE</x:v>
      </x:c>
      <x:c r="G42" s="57" t="str">
        <x:v>GENERATED</x:v>
      </x:c>
      <x:c r="H42" s="57" t="str">
        <x:v>LIVE</x:v>
      </x:c>
      <x:c r="I42" s="57" t="str">
        <x:v>Application card</x:v>
      </x:c>
      <x:c r="J42" s="57" t="str">
        <x:v>SHARED</x:v>
      </x:c>
      <x:c r="K42" s="57" t="str">
        <x:v>ILLUSTRATIVE</x:v>
      </x:c>
      <x:c r="L42" s="57" t="str">
        <x:v>OPEN</x:v>
      </x:c>
      <x:c r="M42" s="57" t="str">
        <x:v>Fitnessboden Vorher/Nachher</x:v>
      </x:c>
      <x:c r="N42" s="57" t="str">
        <x:v>Illustrative communication visual.</x:v>
      </x:c>
    </x:row>
    <x:row r="43">
      <x:c r="A43" s="57" t="str">
        <x:v>AST-FLOOR-002</x:v>
      </x:c>
      <x:c r="B43" s="57" t="str">
        <x:v>Vorher-Nachher Saubere kommunale Böden</x:v>
      </x:c>
      <x:c r="C43" s="57" t="str">
        <x:v>PURE FLOOR PROTECT</x:v>
      </x:c>
      <x:c r="D43" s="57" t="str">
        <x:v>/de/produkte/pure-floor-protect</x:v>
      </x:c>
      <x:c r="E43" s="57" t="str">
        <x:v>Public &amp; Municipal</x:v>
      </x:c>
      <x:c r="F43" s="57" t="str">
        <x:v>APPLICATION IMAGE</x:v>
      </x:c>
      <x:c r="G43" s="57" t="str">
        <x:v>GENERATED</x:v>
      </x:c>
      <x:c r="H43" s="57" t="str">
        <x:v>LIVE</x:v>
      </x:c>
      <x:c r="I43" s="57" t="str">
        <x:v>Application card</x:v>
      </x:c>
      <x:c r="J43" s="57" t="str">
        <x:v>SHARED</x:v>
      </x:c>
      <x:c r="K43" s="57" t="str">
        <x:v>ILLUSTRATIVE</x:v>
      </x:c>
      <x:c r="L43" s="57" t="str">
        <x:v>OPEN</x:v>
      </x:c>
      <x:c r="M43" s="57" t="str">
        <x:v>Kommunaler Boden Vorher/Nachher</x:v>
      </x:c>
      <x:c r="N43" s="57" t="str">
        <x:v>Illustrative communication visual.</x:v>
      </x:c>
    </x:row>
    <x:row r="44">
      <x:c r="A44" s="57" t="str">
        <x:v>AST-FLOOR-003</x:v>
      </x:c>
      <x:c r="B44" s="57" t="str">
        <x:v>Vorher-Nachher Industrieller Boden im Vergleich</x:v>
      </x:c>
      <x:c r="C44" s="57" t="str">
        <x:v>PURE FLOOR PROTECT</x:v>
      </x:c>
      <x:c r="D44" s="57" t="str">
        <x:v>/de/produkte/pure-floor-protect</x:v>
      </x:c>
      <x:c r="E44" s="57" t="str">
        <x:v>Gewerbe</x:v>
      </x:c>
      <x:c r="F44" s="57" t="str">
        <x:v>APPLICATION IMAGE</x:v>
      </x:c>
      <x:c r="G44" s="57" t="str">
        <x:v>GENERATED</x:v>
      </x:c>
      <x:c r="H44" s="57" t="str">
        <x:v>LIVE</x:v>
      </x:c>
      <x:c r="I44" s="57" t="str">
        <x:v>Application card</x:v>
      </x:c>
      <x:c r="J44" s="57" t="str">
        <x:v>SHARED</x:v>
      </x:c>
      <x:c r="K44" s="57" t="str">
        <x:v>ILLUSTRATIVE</x:v>
      </x:c>
      <x:c r="L44" s="57" t="str">
        <x:v>OPEN</x:v>
      </x:c>
      <x:c r="M44" s="57" t="str">
        <x:v>Gewerblicher Boden Vorher/Nachher</x:v>
      </x:c>
      <x:c r="N44" s="57" t="str">
        <x:v>Illustrative communication visual.</x:v>
      </x:c>
    </x:row>
    <x:row r="45">
      <x:c r="A45" s="57" t="str">
        <x:v>AST-FLOOR-004</x:v>
      </x:c>
      <x:c r="B45" s="57" t="str">
        <x:v>Vorher-Nachher Robuster Werkstattboden</x:v>
      </x:c>
      <x:c r="C45" s="57" t="str">
        <x:v>PURE FLOOR PROTECT</x:v>
      </x:c>
      <x:c r="D45" s="57" t="str">
        <x:v>/de/produkte/pure-floor-protect</x:v>
      </x:c>
      <x:c r="E45" s="57" t="str">
        <x:v>Light Industrial</x:v>
      </x:c>
      <x:c r="F45" s="57" t="str">
        <x:v>APPLICATION IMAGE</x:v>
      </x:c>
      <x:c r="G45" s="57" t="str">
        <x:v>GENERATED</x:v>
      </x:c>
      <x:c r="H45" s="57" t="str">
        <x:v>LIVE</x:v>
      </x:c>
      <x:c r="I45" s="57" t="str">
        <x:v>Application card</x:v>
      </x:c>
      <x:c r="J45" s="57" t="str">
        <x:v>SHARED</x:v>
      </x:c>
      <x:c r="K45" s="57" t="str">
        <x:v>ILLUSTRATIVE</x:v>
      </x:c>
      <x:c r="L45" s="57" t="str">
        <x:v>OPEN</x:v>
      </x:c>
      <x:c r="M45" s="57" t="str">
        <x:v>Werkstatt-/Light-Industrial-Boden Vorher/Nachher</x:v>
      </x:c>
      <x:c r="N45" s="57" t="str">
        <x:v>Distinct industrial motif.</x:v>
      </x:c>
    </x:row>
  </x:sheetData>
  <x:mergeCells>
    <x:mergeCell ref="A1:N1"/>
    <x:mergeCell ref="A2:N2"/>
    <x:mergeCell ref="A3:N3"/>
  </x:mergeCells>
  <x:dataValidations count="4">
    <x:dataValidation type="list" sqref="H5:H45">
      <x:formula1>"LIVE,APPROVED,IN PRODUCTION,HOLD,SUPERSEDED"</x:formula1>
    </x:dataValidation>
    <x:dataValidation type="list" sqref="G5:G45">
      <x:formula1>"GENERATED,REAL,SOURCE DECK,MIXED"</x:formula1>
    </x:dataValidation>
    <x:dataValidation type="list" sqref="K5:K45">
      <x:formula1>"ILLUSTRATIVE,REFERENCE B,EVIDENCE A,MODEL C,DEVELOPMENT D,NONE"</x:formula1>
    </x:dataValidation>
    <x:dataValidation type="list" sqref="L5:L45">
      <x:formula1>"OPEN,CONFIRMED,N/A,REVIEW"</x:formula1>
    </x:dataValidation>
  </x:dataValidations>
  <x:pageMargins left="0.7" right="0.7" top="0.75" bottom="0.75" header="0.3" footer="0.3"/>
</x:worksheet>
</file>